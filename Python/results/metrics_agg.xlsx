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alcChain+xml" PartName="/xl/calcChain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>
    <mc:Choice Requires="x15">
      <x15ac:absPath xmlns:x15ac="http://schemas.microsoft.com/office/spreadsheetml/2010/11/ac" url="C:\Users\mdaly\Documents\MasterThese\Design_Pattern_Prototyping\Python\results\"/>
    </mc:Choice>
  </mc:AlternateContent>
  <bookViews>
    <workbookView xWindow="0" yWindow="0" windowWidth="23040" windowHeight="9072"/>
  </bookViews>
  <sheets>
    <sheet name="Metrics" sheetId="1" r:id="rId1"/>
  </sheets>
  <calcPr calcId="162913" iterateCount="1" calcOnSave="0" concurrentCalc="0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4" i="1" l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I27" i="1"/>
  <c r="I28" i="1"/>
  <c r="I29" i="1"/>
  <c r="I30" i="1"/>
  <c r="I10" i="1"/>
  <c r="I11" i="1"/>
  <c r="I12" i="1"/>
  <c r="I2" i="1"/>
  <c r="I3" i="1"/>
  <c r="I4" i="1"/>
  <c r="I16" i="1"/>
  <c r="I17" i="1"/>
  <c r="I18" i="1"/>
  <c r="I19" i="1"/>
  <c r="I5" i="1"/>
  <c r="I6" i="1"/>
  <c r="I7" i="1"/>
  <c r="I8" i="1"/>
  <c r="I9" i="1"/>
  <c r="I22" i="1"/>
  <c r="I23" i="1"/>
  <c r="I24" i="1"/>
  <c r="I25" i="1"/>
  <c r="I26" i="1"/>
  <c r="H2" i="1"/>
  <c r="H3" i="1"/>
</calcChain>
</file>

<file path=xl/sharedStrings.xml><?xml version="1.0" encoding="utf-8"?>
<sst xmlns="http://schemas.openxmlformats.org/spreadsheetml/2006/main" count="807" uniqueCount="596">
  <si>
    <t>Pattern</t>
  </si>
  <si>
    <t>Workload Level</t>
  </si>
  <si>
    <t>Timestamp</t>
  </si>
  <si>
    <t>containerJoulesTotal</t>
  </si>
  <si>
    <t>containerCacheMissTotal</t>
  </si>
  <si>
    <t>containerCpuCyclesTotal</t>
  </si>
  <si>
    <t>containerCpuInstructions</t>
  </si>
  <si>
    <t>energyEfficiency</t>
  </si>
  <si>
    <t>IPC</t>
  </si>
  <si>
    <t>avg_HTTP_client_request_duration</t>
  </si>
  <si>
    <t>requestRate_RPS</t>
  </si>
  <si>
    <t>95PercentileLatency</t>
  </si>
  <si>
    <t>TotalSpanCount</t>
  </si>
  <si>
    <t>Baseline</t>
  </si>
  <si>
    <t>Low</t>
  </si>
  <si>
    <t>2025-04-24 20:34:57</t>
  </si>
  <si>
    <t>81.32403453346122</t>
  </si>
  <si>
    <t>2793887457.805399</t>
  </si>
  <si>
    <t>16795161103.700384</t>
  </si>
  <si>
    <t>11396309068.533585</t>
  </si>
  <si>
    <t>0.0009660572972222325</t>
  </si>
  <si>
    <t>4.965500118965107</t>
  </si>
  <si>
    <t>0.004779874213836478</t>
  </si>
  <si>
    <t>NULL</t>
  </si>
  <si>
    <t>Medium</t>
  </si>
  <si>
    <t>2025-04-24 20:56:39</t>
  </si>
  <si>
    <t>94.69080484887091</t>
  </si>
  <si>
    <t>3643338542.997989</t>
  </si>
  <si>
    <t>19628506985.94079</t>
  </si>
  <si>
    <t>14129819747.852783</t>
  </si>
  <si>
    <t>0.0027558875025640995</t>
  </si>
  <si>
    <t>5.379310344827587</t>
  </si>
  <si>
    <t>0.008205128205128212</t>
  </si>
  <si>
    <t>High</t>
  </si>
  <si>
    <t>2025-04-24 21:11:22</t>
  </si>
  <si>
    <t>95.92948862773565</t>
  </si>
  <si>
    <t>3440288531.961229</t>
  </si>
  <si>
    <t>19856156783.521416</t>
  </si>
  <si>
    <t>13288551347.530916</t>
  </si>
  <si>
    <t>0.004509724845152889</t>
  </si>
  <si>
    <t>5.300000000000001</t>
  </si>
  <si>
    <t>0.015221153846153808</t>
  </si>
  <si>
    <t>Request Collapsing</t>
  </si>
  <si>
    <t>2025-04-25 08:44:10</t>
  </si>
  <si>
    <t>89.88522222222223</t>
  </si>
  <si>
    <t>3330581126.7814817</t>
  </si>
  <si>
    <t>18558904388.64074</t>
  </si>
  <si>
    <t>13327561744.951853</t>
  </si>
  <si>
    <t>0.0018178277249999996</t>
  </si>
  <si>
    <t>0.004811688311688313</t>
  </si>
  <si>
    <t>2025-04-25 08:54:31</t>
  </si>
  <si>
    <t>94.9621</t>
  </si>
  <si>
    <t>3517034311.5851855</t>
  </si>
  <si>
    <t>19550226472.292595</t>
  </si>
  <si>
    <t>14165644060.414816</t>
  </si>
  <si>
    <t>0.002063482840151512</t>
  </si>
  <si>
    <t>4.551771225219571</t>
  </si>
  <si>
    <t>0.005227272727272722</t>
  </si>
  <si>
    <t>2025-04-25 09:13:20</t>
  </si>
  <si>
    <t>95.39531111111111</t>
  </si>
  <si>
    <t>3540323078.1851854</t>
  </si>
  <si>
    <t>19676679111.28889</t>
  </si>
  <si>
    <t>14209675579.685186</t>
  </si>
  <si>
    <t>0.0024107195769230787</t>
  </si>
  <si>
    <t>5.379347443775474</t>
  </si>
  <si>
    <t>0.00727722772277227</t>
  </si>
  <si>
    <t>2025-04-25 09:26:02</t>
  </si>
  <si>
    <t>95.03334444444447</t>
  </si>
  <si>
    <t>3383358579.892593</t>
  </si>
  <si>
    <t>19727227096.770374</t>
  </si>
  <si>
    <t>13265675303.814816</t>
  </si>
  <si>
    <t>0.0027961920628205112</t>
  </si>
  <si>
    <t>0.00844594594594596</t>
  </si>
  <si>
    <t>Async Request Reply</t>
  </si>
  <si>
    <t>2025-04-25 09:51:26</t>
  </si>
  <si>
    <t>86.73570000000002</t>
  </si>
  <si>
    <t>3199612377.9481483</t>
  </si>
  <si>
    <t>18168478381.72222</t>
  </si>
  <si>
    <t>12919388460.896296</t>
  </si>
  <si>
    <t>0.000999312989102563</t>
  </si>
  <si>
    <t>0.004774484536082475</t>
  </si>
  <si>
    <t>2025-04-23 14:37:35</t>
  </si>
  <si>
    <t>95.08441111111112</t>
  </si>
  <si>
    <t>3401191734.837037</t>
  </si>
  <si>
    <t>19782560489.344444</t>
  </si>
  <si>
    <t>13283162347.022223</t>
  </si>
  <si>
    <t>0.002725550675641029</t>
  </si>
  <si>
    <t>0.009397590361445787</t>
  </si>
  <si>
    <t>2025-04-23 15:14:16</t>
  </si>
  <si>
    <t>95.62593748958344</t>
  </si>
  <si>
    <t>3496737909.8639646</t>
  </si>
  <si>
    <t>19713637090.02863</t>
  </si>
  <si>
    <t>14076848259.530449</t>
  </si>
  <si>
    <t>0.0026124619408602143</t>
  </si>
  <si>
    <t>5.131034482758621</t>
  </si>
  <si>
    <t>0.008</t>
  </si>
  <si>
    <t>2025-04-23 15:29:54</t>
  </si>
  <si>
    <t>95.48417169461203</t>
  </si>
  <si>
    <t>3399072481.6790195</t>
  </si>
  <si>
    <t>19653023232.296635</t>
  </si>
  <si>
    <t>13209264042.64216</t>
  </si>
  <si>
    <t>0.0036550441878205097</t>
  </si>
  <si>
    <t>0.012033898305084757</t>
  </si>
  <si>
    <t>Circuit Breaker</t>
  </si>
  <si>
    <t>2025-05-04 19:50:50</t>
  </si>
  <si>
    <t>86.28851958710958</t>
  </si>
  <si>
    <t>3130400666.1543183</t>
  </si>
  <si>
    <t>16253853319.841925</t>
  </si>
  <si>
    <t>11910466595.93554</t>
  </si>
  <si>
    <t>0.7327780287887681</t>
  </si>
  <si>
    <t>0.002223435301282051</t>
  </si>
  <si>
    <t>5.379217599696558</t>
  </si>
  <si>
    <t>0.004920318725099603</t>
  </si>
  <si>
    <t>2025-05-04 20:04:29</t>
  </si>
  <si>
    <t>94.34614444444443</t>
  </si>
  <si>
    <t>2364741778.4037037</t>
  </si>
  <si>
    <t>11613077126.755556</t>
  </si>
  <si>
    <t>9030899429.018518</t>
  </si>
  <si>
    <t>0.7776491390220843</t>
  </si>
  <si>
    <t>0.0032337177334656117</t>
  </si>
  <si>
    <t>5.2138110821071795</t>
  </si>
  <si>
    <t>0.009521126760563374</t>
  </si>
  <si>
    <t>2025-05-04 20:14:45</t>
  </si>
  <si>
    <t>93.98785569049232</t>
  </si>
  <si>
    <t>2167855047.58836</t>
  </si>
  <si>
    <t>10807516608.319164</t>
  </si>
  <si>
    <t>8039194170.2907</t>
  </si>
  <si>
    <t>0.7438521227071233</t>
  </si>
  <si>
    <t>0.004395028155913976</t>
  </si>
  <si>
    <t>0.01717241379310343</t>
  </si>
  <si>
    <t>Cache Aside</t>
  </si>
  <si>
    <t>2025-04-24 22:22:57</t>
  </si>
  <si>
    <t>88.04834444444444</t>
  </si>
  <si>
    <t>3291494949.148148</t>
  </si>
  <si>
    <t>18379456837.862965</t>
  </si>
  <si>
    <t>13185966624.014816</t>
  </si>
  <si>
    <t>0.0018778488923076914</t>
  </si>
  <si>
    <t>0.00482421875</t>
  </si>
  <si>
    <t>2025-04-24 22:39:09</t>
  </si>
  <si>
    <t>94.39767853571455</t>
  </si>
  <si>
    <t>3507011664.9691486</t>
  </si>
  <si>
    <t>19601190827.77535</t>
  </si>
  <si>
    <t>14148696856.25662</t>
  </si>
  <si>
    <t>0.001899503191406246</t>
  </si>
  <si>
    <t>5.296533460229447</t>
  </si>
  <si>
    <t>0.005707692307692299</t>
  </si>
  <si>
    <t>2025-04-24 22:49:30</t>
  </si>
  <si>
    <t>94.70106666666669</t>
  </si>
  <si>
    <t>3377742415.4851856</t>
  </si>
  <si>
    <t>19654369438.72963</t>
  </si>
  <si>
    <t>13284039087.970371</t>
  </si>
  <si>
    <t>0.0024634577172100093</t>
  </si>
  <si>
    <t>4.548275862068966</t>
  </si>
  <si>
    <t>0.008496031746031743</t>
  </si>
  <si>
    <t>Gateway Offloading</t>
  </si>
  <si>
    <t>2025-04-25 07:58:26</t>
  </si>
  <si>
    <t>92.22721111111112</t>
  </si>
  <si>
    <t>3489001186.048148</t>
  </si>
  <si>
    <t>19521889127.7963</t>
  </si>
  <si>
    <t>14041133070.974073</t>
  </si>
  <si>
    <t>0.0025613114597222175</t>
  </si>
  <si>
    <t>4.965517241379311</t>
  </si>
  <si>
    <t>0.007696078431372544</t>
  </si>
  <si>
    <t>2025-05-04 15:49:37</t>
  </si>
  <si>
    <t>87.645</t>
  </si>
  <si>
    <t>3070859859.4666667</t>
  </si>
  <si>
    <t>18361709624.055557</t>
  </si>
  <si>
    <t>12576448165.82963</t>
  </si>
  <si>
    <t>0.6849279518805431</t>
  </si>
  <si>
    <t>0.0013895394544871824</t>
  </si>
  <si>
    <t>0.0047899159663865555</t>
  </si>
  <si>
    <t>2025-05-04 16:09:25</t>
  </si>
  <si>
    <t>95.83426114203807</t>
  </si>
  <si>
    <t>3254016316.9883447</t>
  </si>
  <si>
    <t>19997827190.487827</t>
  </si>
  <si>
    <t>12999654580.278605</t>
  </si>
  <si>
    <t>0.6500533511191668</t>
  </si>
  <si>
    <t>0.0024240987307692246</t>
  </si>
  <si>
    <t>0.008260869565217406</t>
  </si>
  <si>
    <t>Gateway Offloading (Internal)</t>
  </si>
  <si>
    <t>2025-04-25 10:30:04</t>
  </si>
  <si>
    <t>7.3607000000000005</t>
  </si>
  <si>
    <t>88624172.4962963</t>
  </si>
  <si>
    <t>256143947.07037038</t>
  </si>
  <si>
    <t>296498626.32962966</t>
  </si>
  <si>
    <t>0.0008014794769230771</t>
  </si>
  <si>
    <t>0.00475304682488775</t>
  </si>
  <si>
    <t>2025-04-25 10:41:16</t>
  </si>
  <si>
    <t>7.619311111111111</t>
  </si>
  <si>
    <t>73972814.34074074</t>
  </si>
  <si>
    <t>221966834.94444445</t>
  </si>
  <si>
    <t>249661568.0111111</t>
  </si>
  <si>
    <t>0.0006269733564102554</t>
  </si>
  <si>
    <t>0.004750000000000001</t>
  </si>
  <si>
    <t>Cache Aside (Internal)</t>
  </si>
  <si>
    <t>2025-04-25 11:00:00</t>
  </si>
  <si>
    <t>7.183288888888889</t>
  </si>
  <si>
    <t>153346506.93703705</t>
  </si>
  <si>
    <t>376522327.19629633</t>
  </si>
  <si>
    <t>499518914.2814815</t>
  </si>
  <si>
    <t>0.0008960226128205132</t>
  </si>
  <si>
    <t>2025-04-25 11:14:37</t>
  </si>
  <si>
    <t>50.18060000000002</t>
  </si>
  <si>
    <t>3203336045.4962964</t>
  </si>
  <si>
    <t>18194770686.155556</t>
  </si>
  <si>
    <t>13018987392.085186</t>
  </si>
  <si>
    <t>0.0019501404653846132</t>
  </si>
  <si>
    <t>0.004852652259332024</t>
  </si>
  <si>
    <t>Circuit Breaker (Internal)</t>
  </si>
  <si>
    <t>2025-04-25 11:32:36</t>
  </si>
  <si>
    <t>89.87588888888887</t>
  </si>
  <si>
    <t>3250999180.8</t>
  </si>
  <si>
    <t>18569891846.13704</t>
  </si>
  <si>
    <t>13174065735.633333</t>
  </si>
  <si>
    <t>0.0017866882807692306</t>
  </si>
  <si>
    <t>0.004808565866320572</t>
  </si>
  <si>
    <t>RequestCollapsing (Internal)</t>
  </si>
  <si>
    <t>2025-04-22 16:02:37</t>
  </si>
  <si>
    <t>88.32042222222223</t>
  </si>
  <si>
    <t>3304145786.1481485</t>
  </si>
  <si>
    <t>18266494627.84815</t>
  </si>
  <si>
    <t>13013849663.633335</t>
  </si>
  <si>
    <t>0.0019693990737179442</t>
  </si>
  <si>
    <t>5.379328894237566</t>
  </si>
  <si>
    <t>0.00485583224115334</t>
  </si>
  <si>
    <t>AsyncRequestReply (Internal)</t>
  </si>
  <si>
    <t>2025-04-23 13:34:05</t>
  </si>
  <si>
    <t>87.32812222222222</t>
  </si>
  <si>
    <t>2858584651.9444447</t>
  </si>
  <si>
    <t>18158658344.992596</t>
  </si>
  <si>
    <t>10990271622.885185</t>
  </si>
  <si>
    <t>0.0013910197849462394</t>
  </si>
  <si>
    <t>0.004766014834794336</t>
  </si>
  <si>
    <t>2025-04-23 13:45:14</t>
  </si>
  <si>
    <t>93.85587777777776</t>
  </si>
  <si>
    <t>3049672083.485185</t>
  </si>
  <si>
    <t>19402289244.025925</t>
  </si>
  <si>
    <t>11759771496.814816</t>
  </si>
  <si>
    <t>0.001896790273717949</t>
  </si>
  <si>
    <t>5.379273246391405</t>
  </si>
  <si>
    <t>0.005081967213114745</t>
  </si>
  <si>
    <t>2025-04-23 14:01:24</t>
  </si>
  <si>
    <t>95.66436666666665</t>
  </si>
  <si>
    <t>3162052332.362963</t>
  </si>
  <si>
    <t>19734125618.992596</t>
  </si>
  <si>
    <t>12139049167.38889</t>
  </si>
  <si>
    <t>0.0024662611461864544</t>
  </si>
  <si>
    <t>4.882758620689656</t>
  </si>
  <si>
    <t>0.00822857142857144</t>
  </si>
  <si>
    <t>2025-05-04 16:53:57</t>
  </si>
  <si>
    <t>88.79396666666668</t>
  </si>
  <si>
    <t>3084629155.3962965</t>
  </si>
  <si>
    <t>18444908152.4</t>
  </si>
  <si>
    <t>12700687309.070372</t>
  </si>
  <si>
    <t>0.6885741693117509</t>
  </si>
  <si>
    <t>0.0009910481497395758</t>
  </si>
  <si>
    <t>5.296551724137932</t>
  </si>
  <si>
    <t>0.004768627450980392</t>
  </si>
  <si>
    <t>2025-05-04 17:09:06</t>
  </si>
  <si>
    <t>94.45974444444444</t>
  </si>
  <si>
    <t>3336523769.8444443</t>
  </si>
  <si>
    <t>19637536133.2963</t>
  </si>
  <si>
    <t>13725344700.774075</t>
  </si>
  <si>
    <t>0.6989341538372603</t>
  </si>
  <si>
    <t>0.0015708468005464482</t>
  </si>
  <si>
    <t>5.048275862068966</t>
  </si>
  <si>
    <t>0.004949466192170819</t>
  </si>
  <si>
    <t>2025-05-04 17:25:03</t>
  </si>
  <si>
    <t>96.18264444444445</t>
  </si>
  <si>
    <t>3270260613.0185184</t>
  </si>
  <si>
    <t>19949661692.851852</t>
  </si>
  <si>
    <t>13049871847.351852</t>
  </si>
  <si>
    <t>0.6541400073981075</t>
  </si>
  <si>
    <t>0.0024109706625683007</t>
  </si>
  <si>
    <t>5.0482062316381855</t>
  </si>
  <si>
    <t>0.008896551724137924</t>
  </si>
  <si>
    <t>2025-05-04 17:42:04</t>
  </si>
  <si>
    <t>85.78865555555556</t>
  </si>
  <si>
    <t>3165839888.996297</t>
  </si>
  <si>
    <t>17693248715.83704</t>
  </si>
  <si>
    <t>12661116333.470371</t>
  </si>
  <si>
    <t>0.7155902534811224</t>
  </si>
  <si>
    <t>0.002057770287820511</t>
  </si>
  <si>
    <t>2025-05-04 17:52:30</t>
  </si>
  <si>
    <t>90.37383613697476</t>
  </si>
  <si>
    <t>3327134468.778472</t>
  </si>
  <si>
    <t>18588810183.518143</t>
  </si>
  <si>
    <t>13378858104.023613</t>
  </si>
  <si>
    <t>0.7197264360623813</t>
  </si>
  <si>
    <t>0.002213789542948719</t>
  </si>
  <si>
    <t>0.007045454545454553</t>
  </si>
  <si>
    <t>2025-05-04 18:04:22</t>
  </si>
  <si>
    <t>94.90773236348551</t>
  </si>
  <si>
    <t>3368626744.2816505</t>
  </si>
  <si>
    <t>19498763936.201893</t>
  </si>
  <si>
    <t>13197317383.599747</t>
  </si>
  <si>
    <t>0.6768284095740693</t>
  </si>
  <si>
    <t>0.002923435996794873</t>
  </si>
  <si>
    <t>5.3791434058943</t>
  </si>
  <si>
    <t>0.008958333333333323</t>
  </si>
  <si>
    <t>2025-05-04 18:56:28</t>
  </si>
  <si>
    <t>87.48373512494494</t>
  </si>
  <si>
    <t>3041411347.119804</t>
  </si>
  <si>
    <t>16886214066.481726</t>
  </si>
  <si>
    <t>12289880860.362444</t>
  </si>
  <si>
    <t>0.7278055822327416</t>
  </si>
  <si>
    <t>0.0009750262589743549</t>
  </si>
  <si>
    <t>0.004768339768339769</t>
  </si>
  <si>
    <t>2025-05-04 19:06:39</t>
  </si>
  <si>
    <t>94.5549</t>
  </si>
  <si>
    <t>2876106033.225926</t>
  </si>
  <si>
    <t>15364954991.648148</t>
  </si>
  <si>
    <t>11602834013.570372</t>
  </si>
  <si>
    <t>0.7551492353786435</t>
  </si>
  <si>
    <t>0.0020136360076923165</t>
  </si>
  <si>
    <t>0.007066666666666672</t>
  </si>
  <si>
    <t>2025-05-04 19:17:14</t>
  </si>
  <si>
    <t>94.7514157354973</t>
  </si>
  <si>
    <t>2405782587.908934</t>
  </si>
  <si>
    <t>13115099033.655432</t>
  </si>
  <si>
    <t>9451643633.260616</t>
  </si>
  <si>
    <t>0.7206688724962117</t>
  </si>
  <si>
    <t>0.003093037592301644</t>
  </si>
  <si>
    <t>4.389670309207963</t>
  </si>
  <si>
    <t>0.010389423076923046</t>
  </si>
  <si>
    <t>2025-05-04 21:12:41</t>
  </si>
  <si>
    <t>7.246099584448617</t>
  </si>
  <si>
    <t>158253861.77370936</t>
  </si>
  <si>
    <t>386434601.8433622</t>
  </si>
  <si>
    <t>514245470.40490377</t>
  </si>
  <si>
    <t>1.3307438514870584</t>
  </si>
  <si>
    <t>0.0010228574179487102</t>
  </si>
  <si>
    <t>5.370365907815604</t>
  </si>
  <si>
    <t>0.004756097560975609</t>
  </si>
  <si>
    <t>2025-05-04 21:38:05</t>
  </si>
  <si>
    <t>6.401668154326495</t>
  </si>
  <si>
    <t>60180872.21434153</t>
  </si>
  <si>
    <t>192836068.95581093</t>
  </si>
  <si>
    <t>205208395.17553768</t>
  </si>
  <si>
    <t>1.0641598134971415</t>
  </si>
  <si>
    <t>0.0005408774705128202</t>
  </si>
  <si>
    <t>5.379291795545534</t>
  </si>
  <si>
    <t>0.0047560975609756105</t>
  </si>
  <si>
    <t>2025-05-04 22:00:57</t>
  </si>
  <si>
    <t>93.17904444444444</t>
  </si>
  <si>
    <t>3468325404.3407407</t>
  </si>
  <si>
    <t>19440423144.885185</t>
  </si>
  <si>
    <t>13896141700.155556</t>
  </si>
  <si>
    <t>0.7148065449291241</t>
  </si>
  <si>
    <t>0.002790468208974343</t>
  </si>
  <si>
    <t>5.379384543235079</t>
  </si>
  <si>
    <t>0.008458904109589032</t>
  </si>
  <si>
    <t>2025-05-04 22:13:19</t>
  </si>
  <si>
    <t>93.93778541560954</t>
  </si>
  <si>
    <t>3330984812.996989</t>
  </si>
  <si>
    <t>19585043322.15807</t>
  </si>
  <si>
    <t>12949447126.4662</t>
  </si>
  <si>
    <t>0.6611906296788985</t>
  </si>
  <si>
    <t>0.002879340260897398</t>
  </si>
  <si>
    <t>0.008936170212765961</t>
  </si>
  <si>
    <t>Request Collapsing (Internal)</t>
  </si>
  <si>
    <t>2025-05-04 23:35:47</t>
  </si>
  <si>
    <t>7.6053</t>
  </si>
  <si>
    <t>166665402.10740742</t>
  </si>
  <si>
    <t>371643127.41851854</t>
  </si>
  <si>
    <t>541676875.5666667</t>
  </si>
  <si>
    <t>1.4575188819694438</t>
  </si>
  <si>
    <t>0.0019182114339743597</t>
  </si>
  <si>
    <t>2025-05-04 23:46:34</t>
  </si>
  <si>
    <t>8.333077777777778</t>
  </si>
  <si>
    <t>93093916.75925927</t>
  </si>
  <si>
    <t>233512023.8074074</t>
  </si>
  <si>
    <t>310325298.04444444</t>
  </si>
  <si>
    <t>1.3289478331119684</t>
  </si>
  <si>
    <t>0.0015685901340909366</t>
  </si>
  <si>
    <t>4.551724137931036</t>
  </si>
  <si>
    <t>0.004760820045558087</t>
  </si>
  <si>
    <t>2025-05-05 07:42:31</t>
  </si>
  <si>
    <t>93.33576915384559</t>
  </si>
  <si>
    <t>2992593421.5994196</t>
  </si>
  <si>
    <t>16333724891.299196</t>
  </si>
  <si>
    <t>12036805815.913452</t>
  </si>
  <si>
    <t>0.7369296284845187</t>
  </si>
  <si>
    <t>0.0034242143141025552</t>
  </si>
  <si>
    <t>0.00923497267759563</t>
  </si>
  <si>
    <t>2025-05-05 07:53:20</t>
  </si>
  <si>
    <t>91.9353003699767</t>
  </si>
  <si>
    <t>2044334229.6077654</t>
  </si>
  <si>
    <t>11167912336.938046</t>
  </si>
  <si>
    <t>7978592496.71317</t>
  </si>
  <si>
    <t>0.7144211250946025</t>
  </si>
  <si>
    <t>0.004804788798484833</t>
  </si>
  <si>
    <t>4.551677051616707</t>
  </si>
  <si>
    <t>0.018258426966292148</t>
  </si>
  <si>
    <t>2025-05-05 10:00:20</t>
  </si>
  <si>
    <t>86.905</t>
  </si>
  <si>
    <t>2433929187.2925925</t>
  </si>
  <si>
    <t>13408458418.614815</t>
  </si>
  <si>
    <t>9883171418.344444</t>
  </si>
  <si>
    <t>0.7370848392700944</t>
  </si>
  <si>
    <t>0.00110265034545456</t>
  </si>
  <si>
    <t>0.004786259541984733</t>
  </si>
  <si>
    <t>2025-05-05 10:16:38</t>
  </si>
  <si>
    <t>85.63917777777779</t>
  </si>
  <si>
    <t>2864004980.5444446</t>
  </si>
  <si>
    <t>15001632403.681482</t>
  </si>
  <si>
    <t>11137290367.103704</t>
  </si>
  <si>
    <t>0.7424052308047858</t>
  </si>
  <si>
    <t>0.001983912489102561</t>
  </si>
  <si>
    <t>0.004875000000000001</t>
  </si>
  <si>
    <t>2025-05-05 10:50:26</t>
  </si>
  <si>
    <t>87.14342222222223</t>
  </si>
  <si>
    <t>2566754925.2814813</t>
  </si>
  <si>
    <t>12915342207.5</t>
  </si>
  <si>
    <t>9871274724.544445</t>
  </si>
  <si>
    <t>0.7643060916196358</t>
  </si>
  <si>
    <t>0.0022717723681694047</t>
  </si>
  <si>
    <t>0.004914487632508834</t>
  </si>
  <si>
    <t>2025-05-05 11:01:01</t>
  </si>
  <si>
    <t>92.8554816907241</t>
  </si>
  <si>
    <t>2404589128.246273</t>
  </si>
  <si>
    <t>11851459240.527391</t>
  </si>
  <si>
    <t>9269847144.821493</t>
  </si>
  <si>
    <t>0.7821692634373845</t>
  </si>
  <si>
    <t>0.003267869251282055</t>
  </si>
  <si>
    <t>5.371142503985319</t>
  </si>
  <si>
    <t>0.009655172413793094</t>
  </si>
  <si>
    <t>2025-05-05 11:12:31</t>
  </si>
  <si>
    <t>92.69543220530443</t>
  </si>
  <si>
    <t>2023320488.4610682</t>
  </si>
  <si>
    <t>10200898350.105</t>
  </si>
  <si>
    <t>7546442476.675838</t>
  </si>
  <si>
    <t>0.7397821464026413</t>
  </si>
  <si>
    <t>0.004949332777553757</t>
  </si>
  <si>
    <t>5.130857556635978</t>
  </si>
  <si>
    <t>0.01943902439024392</t>
  </si>
  <si>
    <t>2025-05-05 11:53:12</t>
  </si>
  <si>
    <t>85.05736994540781</t>
  </si>
  <si>
    <t>1633503751.4462857</t>
  </si>
  <si>
    <t>8171118765.001742</t>
  </si>
  <si>
    <t>6518485422.633906</t>
  </si>
  <si>
    <t>0.7977469928051543</t>
  </si>
  <si>
    <t>0.0035937797461538436</t>
  </si>
  <si>
    <t>5.379124857763525</t>
  </si>
  <si>
    <t>0.00900462962962963</t>
  </si>
  <si>
    <t>2025-05-05 12:05:59</t>
  </si>
  <si>
    <t>93.85982540676078</t>
  </si>
  <si>
    <t>3531536526.716765</t>
  </si>
  <si>
    <t>19507717161.167263</t>
  </si>
  <si>
    <t>14317027881.932896</t>
  </si>
  <si>
    <t>0.7339161093863339</t>
  </si>
  <si>
    <t>0.0021368593152777723</t>
  </si>
  <si>
    <t>0.0065277777777777825</t>
  </si>
  <si>
    <t>2025-05-05 12:16:04</t>
  </si>
  <si>
    <t>94.74000000000002</t>
  </si>
  <si>
    <t>3391269351.225926</t>
  </si>
  <si>
    <t>19637216212.77037</t>
  </si>
  <si>
    <t>13320891906.677778</t>
  </si>
  <si>
    <t>0.6783493017719592</t>
  </si>
  <si>
    <t>0.0025754683574561545</t>
  </si>
  <si>
    <t>4.7172739122338765</t>
  </si>
  <si>
    <t>0.008813953488372085</t>
  </si>
  <si>
    <t>2025-05-05 16:59:30</t>
  </si>
  <si>
    <t>81.42912222222223</t>
  </si>
  <si>
    <t>3039128675.1962967</t>
  </si>
  <si>
    <t>17094463109.492592</t>
  </si>
  <si>
    <t>12308618105.855556</t>
  </si>
  <si>
    <t>0.7200353720977967</t>
  </si>
  <si>
    <t>0.0009518933916666595</t>
  </si>
  <si>
    <t>0.004765273311897107</t>
  </si>
  <si>
    <t>2301379.655172414</t>
  </si>
  <si>
    <t>2025-05-05 17:12:55</t>
  </si>
  <si>
    <t>91.92590397813342</t>
  </si>
  <si>
    <t>3259283648.1753774</t>
  </si>
  <si>
    <t>19102360990.64818</t>
  </si>
  <si>
    <t>12795818836.915417</t>
  </si>
  <si>
    <t>0.6698553567896547</t>
  </si>
  <si>
    <t>0.002275666084027788</t>
  </si>
  <si>
    <t>0.007199999999999996</t>
  </si>
  <si>
    <t>2678486.9707345837</t>
  </si>
  <si>
    <t>2025-05-05 17:29:39</t>
  </si>
  <si>
    <t>9.654457979473998</t>
  </si>
  <si>
    <t>156150749.5879614</t>
  </si>
  <si>
    <t>398913196.23035634</t>
  </si>
  <si>
    <t>505746991.1888562</t>
  </si>
  <si>
    <t>1.267812135492273</t>
  </si>
  <si>
    <t>0.001376545049999997</t>
  </si>
  <si>
    <t>0.004753300903405143</t>
  </si>
  <si>
    <t>3227.5862068965516</t>
  </si>
  <si>
    <t>2025-05-05 18:36:01</t>
  </si>
  <si>
    <t>40.277604725351196</t>
  </si>
  <si>
    <t>1694017960.9351888</t>
  </si>
  <si>
    <t>6259136972.783884</t>
  </si>
  <si>
    <t>5758243608.481495</t>
  </si>
  <si>
    <t>0.9199740528957291</t>
  </si>
  <si>
    <t>0.0021741557951388784</t>
  </si>
  <si>
    <t>1.9862068965517246</t>
  </si>
  <si>
    <t>0.004920863309352519</t>
  </si>
  <si>
    <t>588906.2068965518</t>
  </si>
  <si>
    <t>2025-05-05 18:43:55</t>
  </si>
  <si>
    <t>7.845388888888888</t>
  </si>
  <si>
    <t>169377994.52222222</t>
  </si>
  <si>
    <t>409651568.1074074</t>
  </si>
  <si>
    <t>545620560.1185186</t>
  </si>
  <si>
    <t>1.3319137593913988</t>
  </si>
  <si>
    <t>0.002099481513461538</t>
  </si>
  <si>
    <t>3196.551724137931</t>
  </si>
  <si>
    <t>2025-05-05 18:47:47</t>
  </si>
  <si>
    <t>7.674555555555555</t>
  </si>
  <si>
    <t>118230010.65185186</t>
  </si>
  <si>
    <t>297229029.71851856</t>
  </si>
  <si>
    <t>385327394.82592595</t>
  </si>
  <si>
    <t>1.2963989257403228</t>
  </si>
  <si>
    <t>0.0017528455324074075</t>
  </si>
  <si>
    <t>5.2137931034482765</t>
  </si>
  <si>
    <t>0.004768924302788844</t>
  </si>
  <si>
    <t>3252.4137931034484</t>
  </si>
  <si>
    <t>2025-05-05 18:55:37</t>
  </si>
  <si>
    <t>7.651588888888887</t>
  </si>
  <si>
    <t>86435299.74814816</t>
  </si>
  <si>
    <t>243153541.62592593</t>
  </si>
  <si>
    <t>288164341.8037037</t>
  </si>
  <si>
    <t>1.185112665342229</t>
  </si>
  <si>
    <t>0.0014762844490740705</t>
  </si>
  <si>
    <t>4.46896551724138</t>
  </si>
  <si>
    <t>0.004764705882352941</t>
  </si>
  <si>
    <t>3228.6206896551726</t>
  </si>
  <si>
    <t>2025-05-05 19:17:11</t>
  </si>
  <si>
    <t>78.81214444444446</t>
  </si>
  <si>
    <t>2220859081.3111115</t>
  </si>
  <si>
    <t>11993839673.78148</t>
  </si>
  <si>
    <t>8934414930.41852</t>
  </si>
  <si>
    <t>0.7449169885061195</t>
  </si>
  <si>
    <t>0.002320010672169816</t>
  </si>
  <si>
    <t>4.386206896551725</t>
  </si>
  <si>
    <t>0.0049728395061728395</t>
  </si>
  <si>
    <t>1622359.655172414</t>
  </si>
  <si>
    <t>2025-05-05 19:30:06</t>
  </si>
  <si>
    <t>93.42984444444444</t>
  </si>
  <si>
    <t>2898247868.985185</t>
  </si>
  <si>
    <t>16956036792.081482</t>
  </si>
  <si>
    <t>11595038248.551851</t>
  </si>
  <si>
    <t>0.6838295051333438</t>
  </si>
  <si>
    <t>0.0029105103427672957</t>
  </si>
  <si>
    <t>4.3862673967916805</t>
  </si>
  <si>
    <t>0.010374999999999962</t>
  </si>
  <si>
    <t>2467198.8579152813</t>
  </si>
  <si>
    <t>2025-05-05 19:57:50</t>
  </si>
  <si>
    <t>85.1445888888889</t>
  </si>
  <si>
    <t>2651885925.9074073</t>
  </si>
  <si>
    <t>13563217371.32963</t>
  </si>
  <si>
    <t>10169846832.011112</t>
  </si>
  <si>
    <t>0.7498107973634976</t>
  </si>
  <si>
    <t>0.001914774787820519</t>
  </si>
  <si>
    <t>0.004833659491193739</t>
  </si>
  <si>
    <t>1836871.0344827587</t>
  </si>
  <si>
    <t>2025-05-05 20:09:05</t>
  </si>
  <si>
    <t>87.8209951995733</t>
  </si>
  <si>
    <t>1921912249.781462</t>
  </si>
  <si>
    <t>9805671012.878923</t>
  </si>
  <si>
    <t>7180928390.208759</t>
  </si>
  <si>
    <t>0.7323240174769492</t>
  </si>
  <si>
    <t>0.005123163184615381</t>
  </si>
  <si>
    <t>0.01978947368421056</t>
  </si>
  <si>
    <t>1466513.7931034483</t>
  </si>
  <si>
    <t>2025-05-05 20:24:25</t>
  </si>
  <si>
    <t>89.28738888888888</t>
  </si>
  <si>
    <t>1690325640.9592593</t>
  </si>
  <si>
    <t>8365463889.748149</t>
  </si>
  <si>
    <t>6518627148.870371</t>
  </si>
  <si>
    <t>0.7792308035492125</t>
  </si>
  <si>
    <t>0.003986870016129034</t>
  </si>
  <si>
    <t>5.130892940884389</t>
  </si>
  <si>
    <t>0.01411627906976739</t>
  </si>
  <si>
    <t>992586.7562274145</t>
  </si>
  <si>
    <t>2025-05-06 12:03:28</t>
  </si>
  <si>
    <t>93.30994444444444</t>
  </si>
  <si>
    <t>3409903794.825926</t>
  </si>
  <si>
    <t>19261382171.396297</t>
  </si>
  <si>
    <t>13808119837.292593</t>
  </si>
  <si>
    <t>1.4798122450403744E8</t>
  </si>
  <si>
    <t>0.7168810480173144</t>
  </si>
  <si>
    <t>0.0026206368474576257</t>
  </si>
  <si>
    <t>0.008241379310344831</t>
  </si>
  <si>
    <t>2622350.6896551726</t>
  </si>
  <si>
    <t>2025-05-06 12:22:01</t>
  </si>
  <si>
    <t>95.03634444444444</t>
  </si>
  <si>
    <t>3300299622.1370373</t>
  </si>
  <si>
    <t>19595883446.155556</t>
  </si>
  <si>
    <t>12988774710.981482</t>
  </si>
  <si>
    <t>1.3667165742653698E8</t>
  </si>
  <si>
    <t>0.6628318007030044</t>
  </si>
  <si>
    <t>5.379495844684299</t>
  </si>
  <si>
    <t>0.0026387976833333335</t>
  </si>
  <si>
    <t>0.008541666666666663</t>
  </si>
  <si>
    <t>2840638.6427118173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</si>
</sst>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1" x14ac:knownFonts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1" xfId="0" applyBorder="1"/>
    <xf numFmtId="0" fontId="0" fillId="0" borderId="0" xfId="0" applyBorder="1"/>
    <xf numFmtId="2" fontId="0" fillId="0" borderId="1" xfId="0" applyNumberFormat="1" applyBorder="1"/>
    <xf numFmtId="2" fontId="0" fillId="0" borderId="0" xfId="0" applyNumberFormat="1"/>
    <xf numFmtId="2" fontId="0" fillId="0" borderId="0" xfId="0" applyNumberFormat="1" applyBorder="1"/>
    <xf numFmtId="0" fontId="0" fillId="0" borderId="1" xfId="0" applyNumberFormat="1" applyBorder="1"/>
    <xf numFmtId="0" fontId="0" fillId="0" borderId="0" xfId="0" applyNumberFormat="1"/>
    <xf numFmtId="0" fontId="0" fillId="0" borderId="0" xfId="0" applyNumberFormat="1" applyBorder="1"/>
    <xf numFmtId="0" fontId="0" fillId="0" borderId="2" xfId="0" applyBorder="1"/>
    <xf numFmtId="0" fontId="0" fillId="0" borderId="2" xfId="0" applyNumberFormat="1" applyBorder="1"/>
    <xf numFmtId="2" fontId="0" fillId="0" borderId="2" xfId="0" applyNumberFormat="1" applyBorder="1"/>
    <xf numFmtId="0" fontId="0" fillId="0" borderId="3" xfId="0" applyBorder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Relationship Id="rId5" Target="calcChain.xml" Type="http://schemas.openxmlformats.org/officeDocument/2006/relationships/calcChain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69"/>
  <sheetViews>
    <sheetView tabSelected="1" workbookViewId="0">
      <selection activeCell="E70" sqref="E70"/>
    </sheetView>
  </sheetViews>
  <sheetFormatPr baseColWidth="10" defaultColWidth="8.88671875" defaultRowHeight="14.4" x14ac:dyDescent="0.3"/>
  <cols>
    <col min="1" max="1" bestFit="true" customWidth="true" width="25.25390625"/>
    <col min="2" max="2" bestFit="true" customWidth="true" width="13.5"/>
    <col min="3" max="3" bestFit="true" customWidth="true" width="17.4296875"/>
    <col min="4" max="4" bestFit="true" customWidth="true" width="18.3828125"/>
    <col min="5" max="5" bestFit="true" customWidth="true" width="21.5390625"/>
    <col min="6" max="6" bestFit="true" customWidth="true" width="21.20703125"/>
    <col min="7" max="7" bestFit="true" customWidth="true" style="7" width="21.84375"/>
    <col min="8" max="8" bestFit="true" customWidth="true" width="20.35546875"/>
    <col min="9" max="9" bestFit="true" customWidth="true" width="18.3828125"/>
    <col min="10" max="10" bestFit="true" customWidth="true" style="4" width="18.3828125"/>
    <col min="11" max="11" bestFit="true" customWidth="true" width="29.09765625"/>
    <col min="12" max="12" bestFit="true" customWidth="true" width="21.3828125"/>
    <col min="13" max="13" bestFit="true" customWidth="true" width="18.3828125"/>
  </cols>
  <sheetData>
    <row r="1" spans="1:1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6" t="s">
        <v>6</v>
      </c>
      <c r="H1" s="1" t="s">
        <v>7</v>
      </c>
      <c r="I1" s="1" t="s">
        <v>8</v>
      </c>
      <c r="J1" s="3" t="s">
        <v>10</v>
      </c>
      <c r="K1" s="1" t="s">
        <v>9</v>
      </c>
      <c r="L1" s="1" t="s">
        <v>11</v>
      </c>
      <c r="M1" s="1" t="s">
        <v>12</v>
      </c>
    </row>
    <row r="2" spans="1:13" x14ac:dyDescent="0.3">
      <c r="A2" t="s" s="0">
        <v>13</v>
      </c>
      <c r="B2" t="s" s="0">
        <v>14</v>
      </c>
      <c r="C2" t="s" s="0">
        <v>15</v>
      </c>
      <c r="D2" t="s" s="0">
        <v>16</v>
      </c>
      <c r="E2" t="s" s="0">
        <v>17</v>
      </c>
      <c r="F2" t="s" s="0">
        <v>18</v>
      </c>
      <c r="G2" s="7" t="s">
        <v>19</v>
      </c>
      <c r="H2" s="0">
        <f t="shared" ref="H2:H65" si="0">G2/D2</f>
        <v>1.4013457563820728</v>
      </c>
      <c r="I2" s="0">
        <f t="shared" ref="I2:I9" si="1">G2/F2</f>
        <v>0.67854717190076086</v>
      </c>
      <c r="J2" s="4" t="s">
        <v>21</v>
      </c>
      <c r="K2" t="s" s="0">
        <v>20</v>
      </c>
      <c r="L2" t="s" s="0">
        <v>22</v>
      </c>
      <c r="M2" t="s" s="0">
        <v>23</v>
      </c>
    </row>
    <row r="3" spans="1:13" x14ac:dyDescent="0.3">
      <c r="A3" t="s" s="0">
        <v>13</v>
      </c>
      <c r="B3" t="s" s="0">
        <v>24</v>
      </c>
      <c r="C3" t="s" s="0">
        <v>25</v>
      </c>
      <c r="D3" t="s" s="0">
        <v>26</v>
      </c>
      <c r="E3" t="s" s="0">
        <v>27</v>
      </c>
      <c r="F3" t="s" s="0">
        <v>28</v>
      </c>
      <c r="G3" s="7" t="s">
        <v>29</v>
      </c>
      <c r="H3" s="0">
        <f t="shared" si="0"/>
        <v>1.4922061091786343</v>
      </c>
      <c r="I3" s="0">
        <f t="shared" si="1"/>
        <v>7.198621758635773</v>
      </c>
      <c r="J3" s="4" t="s">
        <v>31</v>
      </c>
      <c r="K3" t="s" s="0">
        <v>30</v>
      </c>
      <c r="L3" t="s" s="0">
        <v>32</v>
      </c>
      <c r="M3" t="s" s="0">
        <v>23</v>
      </c>
    </row>
    <row r="4" spans="1:13" x14ac:dyDescent="0.3">
      <c r="A4" s="1" t="s">
        <v>13</v>
      </c>
      <c r="B4" s="1" t="s">
        <v>33</v>
      </c>
      <c r="C4" s="1" t="s">
        <v>34</v>
      </c>
      <c r="D4" s="1" t="s">
        <v>35</v>
      </c>
      <c r="E4" s="1" t="s">
        <v>36</v>
      </c>
      <c r="F4" s="1" t="s">
        <v>37</v>
      </c>
      <c r="G4" s="6" t="s">
        <v>38</v>
      </c>
      <c r="H4" s="9">
        <f t="shared" si="0"/>
        <v>1.3852415495613148</v>
      </c>
      <c r="I4" s="1">
        <f t="shared" si="1"/>
        <v>0.66924085523735655</v>
      </c>
      <c r="J4" s="3" t="s">
        <v>40</v>
      </c>
      <c r="K4" s="1" t="s">
        <v>39</v>
      </c>
      <c r="L4" s="1" t="s">
        <v>41</v>
      </c>
      <c r="M4" s="1" t="s">
        <v>23</v>
      </c>
    </row>
    <row r="5" spans="1:13" x14ac:dyDescent="0.3">
      <c r="A5" t="s" s="0">
        <v>42</v>
      </c>
      <c r="B5" t="s" s="0">
        <v>14</v>
      </c>
      <c r="C5" t="s" s="0">
        <v>43</v>
      </c>
      <c r="D5" t="s" s="0">
        <v>44</v>
      </c>
      <c r="E5" t="s" s="0">
        <v>45</v>
      </c>
      <c r="F5" t="s" s="0">
        <v>46</v>
      </c>
      <c r="G5" s="7" t="s">
        <v>47</v>
      </c>
      <c r="H5" s="0">
        <f t="shared" si="0"/>
        <v>1.4827311337120825</v>
      </c>
      <c r="I5" s="0">
        <f t="shared" si="1"/>
        <v>7.1812222671448032</v>
      </c>
      <c r="J5" s="4" t="s">
        <v>31</v>
      </c>
      <c r="K5" t="s" s="0">
        <v>48</v>
      </c>
      <c r="L5" t="s" s="0">
        <v>49</v>
      </c>
      <c r="M5" t="s" s="0">
        <v>23</v>
      </c>
    </row>
    <row r="6" spans="1:13" x14ac:dyDescent="0.3">
      <c r="A6" t="s" s="0">
        <v>42</v>
      </c>
      <c r="B6" t="s" s="0">
        <v>24</v>
      </c>
      <c r="C6" t="s" s="0">
        <v>50</v>
      </c>
      <c r="D6" t="s" s="0">
        <v>51</v>
      </c>
      <c r="E6" t="s" s="0">
        <v>52</v>
      </c>
      <c r="F6" t="s" s="0">
        <v>53</v>
      </c>
      <c r="G6" s="7" t="s">
        <v>54</v>
      </c>
      <c r="H6" s="0">
        <f t="shared" si="0"/>
        <v>14917155434.025574</v>
      </c>
      <c r="I6" s="0">
        <f t="shared" si="1"/>
        <v>0.72457698024577954</v>
      </c>
      <c r="J6" s="4" t="s">
        <v>56</v>
      </c>
      <c r="K6" t="s" s="0">
        <v>55</v>
      </c>
      <c r="L6" t="s" s="0">
        <v>57</v>
      </c>
      <c r="M6" t="s" s="0">
        <v>23</v>
      </c>
    </row>
    <row r="7" spans="1:13" x14ac:dyDescent="0.3">
      <c r="A7" t="s" s="0">
        <v>42</v>
      </c>
      <c r="B7" t="s" s="0">
        <v>24</v>
      </c>
      <c r="C7" t="s" s="0">
        <v>58</v>
      </c>
      <c r="D7" t="s" s="0">
        <v>59</v>
      </c>
      <c r="E7" t="s" s="0">
        <v>60</v>
      </c>
      <c r="F7" t="s" s="0">
        <v>61</v>
      </c>
      <c r="G7" s="7" t="s">
        <v>62</v>
      </c>
      <c r="H7" s="0">
        <f t="shared" si="0"/>
        <v>1.4895570247823258</v>
      </c>
      <c r="I7" s="0">
        <f t="shared" si="1"/>
        <v>7.2215822087238291</v>
      </c>
      <c r="J7" s="4" t="s">
        <v>64</v>
      </c>
      <c r="K7" t="s" s="0">
        <v>63</v>
      </c>
      <c r="L7" t="s" s="0">
        <v>65</v>
      </c>
      <c r="M7" t="s" s="0">
        <v>23</v>
      </c>
    </row>
    <row r="8" spans="1:13" x14ac:dyDescent="0.3">
      <c r="A8" s="1" t="s">
        <v>42</v>
      </c>
      <c r="B8" s="1" t="s">
        <v>33</v>
      </c>
      <c r="C8" s="1" t="s">
        <v>66</v>
      </c>
      <c r="D8" s="1" t="s">
        <v>67</v>
      </c>
      <c r="E8" s="1" t="s">
        <v>68</v>
      </c>
      <c r="F8" s="1" t="s">
        <v>69</v>
      </c>
      <c r="G8" s="6" t="s">
        <v>70</v>
      </c>
      <c r="H8" s="9">
        <f t="shared" si="0"/>
        <v>1.3958969224291364</v>
      </c>
      <c r="I8" s="1">
        <f t="shared" si="1"/>
        <v>0.67245514226308212</v>
      </c>
      <c r="J8" s="3" t="s">
        <v>31</v>
      </c>
      <c r="K8" s="1" t="s">
        <v>71</v>
      </c>
      <c r="L8" s="1" t="s">
        <v>72</v>
      </c>
      <c r="M8" s="1" t="s">
        <v>23</v>
      </c>
    </row>
    <row r="9" spans="1:13" x14ac:dyDescent="0.3">
      <c r="A9" t="s" s="0">
        <v>73</v>
      </c>
      <c r="B9" t="s" s="0">
        <v>14</v>
      </c>
      <c r="C9" t="s" s="0">
        <v>74</v>
      </c>
      <c r="D9" t="s" s="0">
        <v>75</v>
      </c>
      <c r="E9" t="s" s="0">
        <v>76</v>
      </c>
      <c r="F9" t="s" s="0">
        <v>77</v>
      </c>
      <c r="G9" s="7" t="s">
        <v>78</v>
      </c>
      <c r="H9" s="0">
        <f t="shared" si="0"/>
        <v>1.4895122147969291</v>
      </c>
      <c r="I9" s="0">
        <f t="shared" si="1"/>
        <v>7.1108808285746843</v>
      </c>
      <c r="J9" s="4" t="s">
        <v>31</v>
      </c>
      <c r="K9" t="s" s="0">
        <v>79</v>
      </c>
      <c r="L9" t="s" s="0">
        <v>80</v>
      </c>
      <c r="M9" t="s" s="0">
        <v>23</v>
      </c>
    </row>
    <row r="10" spans="1:13" x14ac:dyDescent="0.3">
      <c r="A10" t="s" s="0">
        <v>73</v>
      </c>
      <c r="B10" t="s" s="0">
        <v>33</v>
      </c>
      <c r="C10" t="s" s="0">
        <v>81</v>
      </c>
      <c r="D10" t="s" s="0">
        <v>82</v>
      </c>
      <c r="E10" t="s" s="0">
        <v>83</v>
      </c>
      <c r="F10" t="s" s="0">
        <v>84</v>
      </c>
      <c r="G10" s="7" t="s">
        <v>85</v>
      </c>
      <c r="H10" s="0">
        <f t="shared" si="0"/>
        <v>1.3969863400111013</v>
      </c>
      <c r="I10" s="0">
        <f t="shared" ref="I10:I26" si="2">G10/F10</f>
        <v>0.67145819441204235</v>
      </c>
      <c r="J10" s="4" t="s">
        <v>31</v>
      </c>
      <c r="K10" t="s" s="0">
        <v>86</v>
      </c>
      <c r="L10" t="s" s="0">
        <v>87</v>
      </c>
      <c r="M10" t="s" s="0">
        <v>23</v>
      </c>
    </row>
    <row r="11" spans="1:13" x14ac:dyDescent="0.3">
      <c r="A11" t="s" s="0">
        <v>73</v>
      </c>
      <c r="B11" t="s" s="0">
        <v>24</v>
      </c>
      <c r="C11" t="s" s="0">
        <v>88</v>
      </c>
      <c r="D11" t="s" s="0">
        <v>89</v>
      </c>
      <c r="E11" t="s" s="0">
        <v>90</v>
      </c>
      <c r="F11" t="s" s="0">
        <v>91</v>
      </c>
      <c r="G11" s="7" t="s">
        <v>92</v>
      </c>
      <c r="H11" s="0">
        <f t="shared" si="0"/>
        <v>1.4720742749386171</v>
      </c>
      <c r="I11" s="0">
        <f t="shared" si="2"/>
        <v>7.1406652132450192</v>
      </c>
      <c r="J11" s="4" t="s">
        <v>94</v>
      </c>
      <c r="K11" t="s" s="0">
        <v>93</v>
      </c>
      <c r="L11" t="s" s="0">
        <v>95</v>
      </c>
      <c r="M11" t="s" s="0">
        <v>23</v>
      </c>
    </row>
    <row r="12" spans="1:13" x14ac:dyDescent="0.3">
      <c r="A12" s="1" t="s">
        <v>73</v>
      </c>
      <c r="B12" s="1" t="s">
        <v>33</v>
      </c>
      <c r="C12" s="1" t="s">
        <v>96</v>
      </c>
      <c r="D12" s="1" t="s">
        <v>97</v>
      </c>
      <c r="E12" s="1" t="s">
        <v>98</v>
      </c>
      <c r="F12" s="1" t="s">
        <v>99</v>
      </c>
      <c r="G12" s="6" t="s">
        <v>100</v>
      </c>
      <c r="H12" s="9">
        <f t="shared" si="0"/>
        <v>0.13833982960955479</v>
      </c>
      <c r="I12" s="1">
        <f t="shared" si="2"/>
        <v>6.7212376877135049E-2</v>
      </c>
      <c r="J12" s="3" t="s">
        <v>31</v>
      </c>
      <c r="K12" s="1" t="s">
        <v>101</v>
      </c>
      <c r="L12" s="1" t="s">
        <v>102</v>
      </c>
      <c r="M12" s="1" t="s">
        <v>23</v>
      </c>
    </row>
    <row r="13" spans="1:13" x14ac:dyDescent="0.3">
      <c r="A13" t="s" s="0">
        <v>103</v>
      </c>
      <c r="B13" t="s" s="0">
        <v>14</v>
      </c>
      <c r="C13" t="s" s="0">
        <v>104</v>
      </c>
      <c r="D13" t="s" s="0">
        <v>105</v>
      </c>
      <c r="E13" t="s" s="0">
        <v>106</v>
      </c>
      <c r="F13" t="s" s="0">
        <v>107</v>
      </c>
      <c r="G13" s="7" t="s">
        <v>108</v>
      </c>
      <c r="H13" s="0">
        <f t="shared" si="0"/>
        <v>0.13803072127007246</v>
      </c>
      <c r="I13" t="s" s="0">
        <v>109</v>
      </c>
      <c r="J13" s="4" t="s">
        <v>111</v>
      </c>
      <c r="K13" t="s" s="0">
        <v>110</v>
      </c>
      <c r="L13" t="s" s="0">
        <v>112</v>
      </c>
      <c r="M13" t="s" s="0">
        <v>23</v>
      </c>
    </row>
    <row r="14" spans="1:13" x14ac:dyDescent="0.3">
      <c r="A14" t="s" s="0">
        <v>103</v>
      </c>
      <c r="B14" t="s" s="0">
        <v>24</v>
      </c>
      <c r="C14" t="s" s="0">
        <v>113</v>
      </c>
      <c r="D14" t="s" s="0">
        <v>114</v>
      </c>
      <c r="E14" t="s" s="0">
        <v>115</v>
      </c>
      <c r="F14" t="s" s="0">
        <v>116</v>
      </c>
      <c r="G14" s="7" t="s">
        <v>117</v>
      </c>
      <c r="H14" s="0">
        <f t="shared" si="0"/>
        <v>0.95720916654271371</v>
      </c>
      <c r="I14" t="s" s="0">
        <v>118</v>
      </c>
      <c r="J14" s="4" t="s">
        <v>120</v>
      </c>
      <c r="K14" t="s" s="0">
        <v>119</v>
      </c>
      <c r="L14" t="s" s="0">
        <v>121</v>
      </c>
      <c r="M14" t="s" s="0">
        <v>23</v>
      </c>
    </row>
    <row r="15" spans="1:13" x14ac:dyDescent="0.3">
      <c r="A15" s="9" t="s">
        <v>103</v>
      </c>
      <c r="B15" s="9" t="s">
        <v>33</v>
      </c>
      <c r="C15" s="9" t="s">
        <v>122</v>
      </c>
      <c r="D15" s="9" t="s">
        <v>123</v>
      </c>
      <c r="E15" s="9" t="s">
        <v>124</v>
      </c>
      <c r="F15" s="9" t="s">
        <v>125</v>
      </c>
      <c r="G15" s="10" t="s">
        <v>126</v>
      </c>
      <c r="H15" s="9">
        <f t="shared" si="0"/>
        <v>8.553439283437058E-3</v>
      </c>
      <c r="I15" s="9" t="s">
        <v>127</v>
      </c>
      <c r="J15" s="11" t="s">
        <v>94</v>
      </c>
      <c r="K15" s="9" t="s">
        <v>128</v>
      </c>
      <c r="L15" s="9" t="s">
        <v>129</v>
      </c>
      <c r="M15" s="9" t="s">
        <v>23</v>
      </c>
    </row>
    <row r="16" spans="1:13" x14ac:dyDescent="0.3">
      <c r="A16" s="2" t="s">
        <v>130</v>
      </c>
      <c r="B16" s="2" t="s">
        <v>14</v>
      </c>
      <c r="C16" s="2" t="s">
        <v>131</v>
      </c>
      <c r="D16" s="2" t="s">
        <v>132</v>
      </c>
      <c r="E16" s="2" t="s">
        <v>133</v>
      </c>
      <c r="F16" s="2" t="s">
        <v>134</v>
      </c>
      <c r="G16" s="8" t="s">
        <v>135</v>
      </c>
      <c r="H16" s="0">
        <f t="shared" si="0"/>
        <v>1.497582573211778</v>
      </c>
      <c r="I16" s="2">
        <f t="shared" si="2"/>
        <v>0.71742961396175942</v>
      </c>
      <c r="J16" s="5" t="s">
        <v>31</v>
      </c>
      <c r="K16" s="2" t="s">
        <v>136</v>
      </c>
      <c r="L16" s="2" t="s">
        <v>137</v>
      </c>
      <c r="M16" t="s" s="0">
        <v>23</v>
      </c>
    </row>
    <row r="17" spans="1:13" x14ac:dyDescent="0.3">
      <c r="A17" s="2" t="s">
        <v>130</v>
      </c>
      <c r="B17" s="2" t="s">
        <v>24</v>
      </c>
      <c r="C17" s="2" t="s">
        <v>138</v>
      </c>
      <c r="D17" s="2" t="s">
        <v>139</v>
      </c>
      <c r="E17" s="2" t="s">
        <v>140</v>
      </c>
      <c r="F17" s="2" t="s">
        <v>141</v>
      </c>
      <c r="G17" s="8" t="s">
        <v>142</v>
      </c>
      <c r="H17" s="0">
        <f t="shared" si="0"/>
        <v>0.14988394922131024</v>
      </c>
      <c r="I17" s="2">
        <f t="shared" si="2"/>
        <v>0.72182843280152131</v>
      </c>
      <c r="J17" s="5" t="s">
        <v>144</v>
      </c>
      <c r="K17" s="2" t="s">
        <v>143</v>
      </c>
      <c r="L17" s="2" t="s">
        <v>145</v>
      </c>
      <c r="M17" t="s" s="0">
        <v>23</v>
      </c>
    </row>
    <row r="18" spans="1:13" x14ac:dyDescent="0.3">
      <c r="A18" s="1" t="s">
        <v>130</v>
      </c>
      <c r="B18" s="1" t="s">
        <v>33</v>
      </c>
      <c r="C18" s="1" t="s">
        <v>146</v>
      </c>
      <c r="D18" s="1" t="s">
        <v>147</v>
      </c>
      <c r="E18" s="1" t="s">
        <v>148</v>
      </c>
      <c r="F18" s="1" t="s">
        <v>149</v>
      </c>
      <c r="G18" s="6" t="s">
        <v>150</v>
      </c>
      <c r="H18" s="9">
        <f t="shared" si="0"/>
        <v>1.4027338398128191</v>
      </c>
      <c r="I18" s="1">
        <f t="shared" si="2"/>
        <v>6.758822321612441</v>
      </c>
      <c r="J18" s="3" t="s">
        <v>152</v>
      </c>
      <c r="K18" s="1" t="s">
        <v>151</v>
      </c>
      <c r="L18" s="1" t="s">
        <v>153</v>
      </c>
      <c r="M18" s="1" t="s">
        <v>23</v>
      </c>
    </row>
    <row r="19" spans="1:13" x14ac:dyDescent="0.3">
      <c r="A19" s="2" t="s">
        <v>154</v>
      </c>
      <c r="B19" s="2" t="s">
        <v>24</v>
      </c>
      <c r="C19" s="2" t="s">
        <v>155</v>
      </c>
      <c r="D19" s="2" t="s">
        <v>156</v>
      </c>
      <c r="E19" s="2" t="s">
        <v>157</v>
      </c>
      <c r="F19" s="2" t="s">
        <v>158</v>
      </c>
      <c r="G19" s="8" t="s">
        <v>159</v>
      </c>
      <c r="H19" s="0">
        <f t="shared" si="0"/>
        <v>1.5224501426219956</v>
      </c>
      <c r="I19" s="2">
        <f t="shared" si="2"/>
        <v>71.925073332075684</v>
      </c>
      <c r="J19" s="5" t="s">
        <v>161</v>
      </c>
      <c r="K19" s="2" t="s">
        <v>160</v>
      </c>
      <c r="L19" s="2" t="s">
        <v>162</v>
      </c>
      <c r="M19" t="s" s="0">
        <v>23</v>
      </c>
    </row>
    <row r="20" spans="1:13" x14ac:dyDescent="0.3">
      <c r="A20" t="s" s="0">
        <v>154</v>
      </c>
      <c r="B20" t="s" s="0">
        <v>14</v>
      </c>
      <c r="C20" t="s" s="0">
        <v>163</v>
      </c>
      <c r="D20" t="s" s="0">
        <v>164</v>
      </c>
      <c r="E20" t="s" s="0">
        <v>165</v>
      </c>
      <c r="F20" t="s" s="0">
        <v>166</v>
      </c>
      <c r="G20" s="7" t="s">
        <v>167</v>
      </c>
      <c r="H20" s="0">
        <f t="shared" si="0"/>
        <v>14349304770.186092</v>
      </c>
      <c r="I20" t="s" s="0">
        <v>168</v>
      </c>
      <c r="J20" s="4" t="s">
        <v>31</v>
      </c>
      <c r="K20" t="s" s="0">
        <v>169</v>
      </c>
      <c r="L20" t="s" s="0">
        <v>170</v>
      </c>
      <c r="M20" t="s" s="0">
        <v>23</v>
      </c>
    </row>
    <row r="21" spans="1:13" x14ac:dyDescent="0.3">
      <c r="A21" s="1" t="s">
        <v>154</v>
      </c>
      <c r="B21" s="1" t="s">
        <v>33</v>
      </c>
      <c r="C21" s="1" t="s">
        <v>171</v>
      </c>
      <c r="D21" s="1" t="s">
        <v>172</v>
      </c>
      <c r="E21" s="1" t="s">
        <v>173</v>
      </c>
      <c r="F21" s="1" t="s">
        <v>174</v>
      </c>
      <c r="G21" s="6" t="s">
        <v>175</v>
      </c>
      <c r="H21" s="9">
        <f t="shared" si="0"/>
        <v>1.3564725626685361</v>
      </c>
      <c r="I21" s="1" t="s">
        <v>176</v>
      </c>
      <c r="J21" s="3" t="s">
        <v>31</v>
      </c>
      <c r="K21" s="1" t="s">
        <v>177</v>
      </c>
      <c r="L21" s="1" t="s">
        <v>178</v>
      </c>
      <c r="M21" s="1" t="s">
        <v>23</v>
      </c>
    </row>
    <row r="22" spans="1:13" x14ac:dyDescent="0.3">
      <c r="A22" s="2" t="s">
        <v>179</v>
      </c>
      <c r="B22" s="2" t="s">
        <v>14</v>
      </c>
      <c r="C22" s="2" t="s">
        <v>180</v>
      </c>
      <c r="D22" s="2" t="s">
        <v>181</v>
      </c>
      <c r="E22" s="2" t="s">
        <v>182</v>
      </c>
      <c r="F22" s="2" t="s">
        <v>183</v>
      </c>
      <c r="G22" s="8" t="s">
        <v>184</v>
      </c>
      <c r="H22" s="0">
        <f t="shared" si="0"/>
        <v>0.40281308344264677</v>
      </c>
      <c r="I22" s="2">
        <f t="shared" si="2"/>
        <v>1.1575468783112506</v>
      </c>
      <c r="J22" s="5" t="s">
        <v>31</v>
      </c>
      <c r="K22" s="2" t="s">
        <v>185</v>
      </c>
      <c r="L22" s="2" t="s">
        <v>186</v>
      </c>
      <c r="M22" t="s" s="0">
        <v>23</v>
      </c>
    </row>
    <row r="23" spans="1:13" x14ac:dyDescent="0.3">
      <c r="A23" s="1" t="s">
        <v>179</v>
      </c>
      <c r="B23" s="1" t="s">
        <v>14</v>
      </c>
      <c r="C23" s="1" t="s">
        <v>187</v>
      </c>
      <c r="D23" s="1" t="s">
        <v>188</v>
      </c>
      <c r="E23" s="1" t="s">
        <v>189</v>
      </c>
      <c r="F23" s="1" t="s">
        <v>190</v>
      </c>
      <c r="G23" s="6" t="s">
        <v>191</v>
      </c>
      <c r="H23" s="9">
        <f t="shared" si="0"/>
        <v>0.3276694761118677</v>
      </c>
      <c r="I23" s="1">
        <f t="shared" si="2"/>
        <v>0.11247696894610346</v>
      </c>
      <c r="J23" s="3" t="s">
        <v>31</v>
      </c>
      <c r="K23" s="1" t="s">
        <v>192</v>
      </c>
      <c r="L23" s="1" t="s">
        <v>193</v>
      </c>
      <c r="M23" s="1" t="s">
        <v>23</v>
      </c>
    </row>
    <row r="24" spans="1:13" x14ac:dyDescent="0.3">
      <c r="A24" s="2" t="s">
        <v>194</v>
      </c>
      <c r="B24" s="2" t="s">
        <v>14</v>
      </c>
      <c r="C24" s="2" t="s">
        <v>195</v>
      </c>
      <c r="D24" s="2" t="s">
        <v>196</v>
      </c>
      <c r="E24" s="2" t="s">
        <v>197</v>
      </c>
      <c r="F24" s="2" t="s">
        <v>198</v>
      </c>
      <c r="G24" s="8" t="s">
        <v>199</v>
      </c>
      <c r="H24" s="0">
        <f t="shared" si="0"/>
        <v>0.69539026204854082</v>
      </c>
      <c r="I24" s="2">
        <f t="shared" si="2"/>
        <v>0.13266647903752651</v>
      </c>
      <c r="J24" s="5" t="s">
        <v>31</v>
      </c>
      <c r="K24" s="2" t="s">
        <v>200</v>
      </c>
      <c r="L24" s="2" t="s">
        <v>193</v>
      </c>
      <c r="M24" t="s" s="0">
        <v>23</v>
      </c>
    </row>
    <row r="25" spans="1:13" x14ac:dyDescent="0.3">
      <c r="A25" s="1" t="s">
        <v>194</v>
      </c>
      <c r="B25" s="1" t="s">
        <v>14</v>
      </c>
      <c r="C25" s="1" t="s">
        <v>201</v>
      </c>
      <c r="D25" s="1" t="s">
        <v>202</v>
      </c>
      <c r="E25" s="1" t="s">
        <v>203</v>
      </c>
      <c r="F25" s="1" t="s">
        <v>204</v>
      </c>
      <c r="G25" s="6" t="s">
        <v>205</v>
      </c>
      <c r="H25" s="9">
        <f t="shared" si="0"/>
        <v>2.5944264102232935</v>
      </c>
      <c r="I25" s="1">
        <f t="shared" si="2"/>
        <v>0.71553456851156239</v>
      </c>
      <c r="J25" s="3" t="s">
        <v>31</v>
      </c>
      <c r="K25" s="1" t="s">
        <v>206</v>
      </c>
      <c r="L25" s="1" t="s">
        <v>207</v>
      </c>
      <c r="M25" s="1" t="s">
        <v>23</v>
      </c>
    </row>
    <row r="26" spans="1:13" x14ac:dyDescent="0.3">
      <c r="A26" s="1" t="s">
        <v>208</v>
      </c>
      <c r="B26" s="1" t="s">
        <v>14</v>
      </c>
      <c r="C26" s="1" t="s">
        <v>209</v>
      </c>
      <c r="D26" s="1" t="s">
        <v>210</v>
      </c>
      <c r="E26" s="1" t="s">
        <v>211</v>
      </c>
      <c r="F26" s="1" t="s">
        <v>212</v>
      </c>
      <c r="G26" s="6" t="s">
        <v>213</v>
      </c>
      <c r="H26" s="12">
        <f t="shared" si="0"/>
        <v>1.4658064469237184</v>
      </c>
      <c r="I26" s="1">
        <f t="shared" si="2"/>
        <v>7.0943147352653178</v>
      </c>
      <c r="J26" s="3" t="s">
        <v>31</v>
      </c>
      <c r="K26" s="1" t="s">
        <v>214</v>
      </c>
      <c r="L26" s="1" t="s">
        <v>215</v>
      </c>
      <c r="M26" s="1" t="s">
        <v>23</v>
      </c>
    </row>
    <row r="27" spans="1:13" x14ac:dyDescent="0.3">
      <c r="A27" s="1" t="s">
        <v>216</v>
      </c>
      <c r="B27" s="1" t="s">
        <v>14</v>
      </c>
      <c r="C27" s="1" t="s">
        <v>217</v>
      </c>
      <c r="D27" s="1" t="s">
        <v>218</v>
      </c>
      <c r="E27" s="1" t="s">
        <v>219</v>
      </c>
      <c r="F27" s="1" t="s">
        <v>220</v>
      </c>
      <c r="G27" s="6" t="s">
        <v>221</v>
      </c>
      <c r="H27" s="9">
        <f t="shared" si="0"/>
        <v>1.4734813688830963</v>
      </c>
      <c r="I27" s="1">
        <f>G27/F27</f>
        <v>7.124437353072163</v>
      </c>
      <c r="J27" s="3" t="s">
        <v>223</v>
      </c>
      <c r="K27" s="1" t="s">
        <v>222</v>
      </c>
      <c r="L27" s="1" t="s">
        <v>224</v>
      </c>
      <c r="M27" s="1" t="s">
        <v>23</v>
      </c>
    </row>
    <row r="28" spans="1:13" x14ac:dyDescent="0.3">
      <c r="A28" t="s" s="0">
        <v>225</v>
      </c>
      <c r="B28" t="s" s="0">
        <v>14</v>
      </c>
      <c r="C28" t="s" s="0">
        <v>226</v>
      </c>
      <c r="D28" t="s" s="0">
        <v>227</v>
      </c>
      <c r="E28" t="s" s="0">
        <v>228</v>
      </c>
      <c r="F28" t="s" s="0">
        <v>229</v>
      </c>
      <c r="G28" s="7" t="s">
        <v>230</v>
      </c>
      <c r="H28" s="0">
        <f t="shared" si="0"/>
        <v>1.2585031423117476</v>
      </c>
      <c r="I28" s="0">
        <f>G28/F28</f>
        <v>0.60523588329507938</v>
      </c>
      <c r="J28" s="4" t="s">
        <v>94</v>
      </c>
      <c r="K28" t="s" s="0">
        <v>231</v>
      </c>
      <c r="L28" t="s" s="0">
        <v>232</v>
      </c>
      <c r="M28" t="s" s="0">
        <v>23</v>
      </c>
    </row>
    <row r="29" spans="1:13" x14ac:dyDescent="0.3">
      <c r="A29" t="s" s="0">
        <v>225</v>
      </c>
      <c r="B29" t="s" s="0">
        <v>24</v>
      </c>
      <c r="C29" t="s" s="0">
        <v>233</v>
      </c>
      <c r="D29" t="s" s="0">
        <v>234</v>
      </c>
      <c r="E29" t="s" s="0">
        <v>235</v>
      </c>
      <c r="F29" t="s" s="0">
        <v>236</v>
      </c>
      <c r="G29" s="7" t="s">
        <v>237</v>
      </c>
      <c r="H29" s="0">
        <f t="shared" si="0"/>
        <v>1.2529605790548759</v>
      </c>
      <c r="I29" s="0">
        <f>G29/F29</f>
        <v>0.60610226705262193</v>
      </c>
      <c r="J29" s="4" t="s">
        <v>239</v>
      </c>
      <c r="K29" t="s" s="0">
        <v>238</v>
      </c>
      <c r="L29" t="s" s="0">
        <v>240</v>
      </c>
      <c r="M29" t="s" s="0">
        <v>23</v>
      </c>
    </row>
    <row r="30" spans="1:13" x14ac:dyDescent="0.3">
      <c r="A30" s="9" t="s">
        <v>225</v>
      </c>
      <c r="B30" s="9" t="s">
        <v>33</v>
      </c>
      <c r="C30" s="9" t="s">
        <v>241</v>
      </c>
      <c r="D30" s="9" t="s">
        <v>242</v>
      </c>
      <c r="E30" s="9" t="s">
        <v>243</v>
      </c>
      <c r="F30" s="9" t="s">
        <v>244</v>
      </c>
      <c r="G30" s="10" t="s">
        <v>245</v>
      </c>
      <c r="H30" s="9">
        <f t="shared" si="0"/>
        <v>0.12689206640217632</v>
      </c>
      <c r="I30" s="9">
        <f>G30/F30</f>
        <v>6.1512982139456669E-2</v>
      </c>
      <c r="J30" s="11" t="s">
        <v>247</v>
      </c>
      <c r="K30" s="9" t="s">
        <v>246</v>
      </c>
      <c r="L30" s="9" t="s">
        <v>248</v>
      </c>
      <c r="M30" s="9" t="s">
        <v>23</v>
      </c>
    </row>
    <row r="31" spans="1:13" x14ac:dyDescent="0.3">
      <c r="A31" t="s" s="0">
        <v>130</v>
      </c>
      <c r="B31" t="s" s="0">
        <v>14</v>
      </c>
      <c r="C31" t="s" s="0">
        <v>249</v>
      </c>
      <c r="D31" t="s" s="0">
        <v>250</v>
      </c>
      <c r="E31" t="s" s="0">
        <v>251</v>
      </c>
      <c r="F31" t="s" s="0">
        <v>252</v>
      </c>
      <c r="G31" s="7" t="s">
        <v>253</v>
      </c>
      <c r="H31" s="0">
        <f t="shared" si="0"/>
        <v>1.4303547623622674</v>
      </c>
      <c r="I31" t="s" s="0">
        <v>254</v>
      </c>
      <c r="J31" s="4" t="s">
        <v>256</v>
      </c>
      <c r="K31" t="s" s="0">
        <v>255</v>
      </c>
      <c r="L31" t="s" s="0">
        <v>257</v>
      </c>
      <c r="M31" t="s" s="0">
        <v>23</v>
      </c>
    </row>
    <row r="32" spans="1:13" x14ac:dyDescent="0.3">
      <c r="A32" t="s" s="0">
        <v>130</v>
      </c>
      <c r="B32" t="s" s="0">
        <v>24</v>
      </c>
      <c r="C32" t="s" s="0">
        <v>258</v>
      </c>
      <c r="D32" t="s" s="0">
        <v>259</v>
      </c>
      <c r="E32" t="s" s="0">
        <v>260</v>
      </c>
      <c r="F32" t="s" s="0">
        <v>261</v>
      </c>
      <c r="G32" s="7" t="s">
        <v>262</v>
      </c>
      <c r="H32" s="0">
        <f t="shared" si="0"/>
        <v>1.4530363999498677</v>
      </c>
      <c r="I32" t="s" s="0">
        <v>263</v>
      </c>
      <c r="J32" s="4" t="s">
        <v>265</v>
      </c>
      <c r="K32" t="s" s="0">
        <v>264</v>
      </c>
      <c r="L32" t="s" s="0">
        <v>266</v>
      </c>
      <c r="M32" t="s" s="0">
        <v>23</v>
      </c>
    </row>
    <row r="33" spans="1:13" x14ac:dyDescent="0.3">
      <c r="A33" s="9" t="s">
        <v>130</v>
      </c>
      <c r="B33" s="9" t="s">
        <v>33</v>
      </c>
      <c r="C33" s="9" t="s">
        <v>267</v>
      </c>
      <c r="D33" s="9" t="s">
        <v>268</v>
      </c>
      <c r="E33" s="9" t="s">
        <v>269</v>
      </c>
      <c r="F33" s="9" t="s">
        <v>270</v>
      </c>
      <c r="G33" s="10" t="s">
        <v>271</v>
      </c>
      <c r="H33" s="9">
        <f t="shared" si="0"/>
        <v>1.3567803134056555</v>
      </c>
      <c r="I33" s="9" t="s">
        <v>272</v>
      </c>
      <c r="J33" s="11" t="s">
        <v>274</v>
      </c>
      <c r="K33" s="9" t="s">
        <v>273</v>
      </c>
      <c r="L33" s="9" t="s">
        <v>275</v>
      </c>
      <c r="M33" s="9" t="s">
        <v>23</v>
      </c>
    </row>
    <row r="34" spans="1:13" x14ac:dyDescent="0.3">
      <c r="A34" t="s" s="0">
        <v>13</v>
      </c>
      <c r="B34" t="s" s="0">
        <v>14</v>
      </c>
      <c r="C34" t="s" s="0">
        <v>276</v>
      </c>
      <c r="D34" t="s" s="0">
        <v>277</v>
      </c>
      <c r="E34" t="s" s="0">
        <v>278</v>
      </c>
      <c r="F34" t="s" s="0">
        <v>279</v>
      </c>
      <c r="G34" s="7" t="s">
        <v>280</v>
      </c>
      <c r="H34" s="0">
        <f t="shared" si="0"/>
        <v>1.4758497206278216</v>
      </c>
      <c r="I34" t="s" s="0">
        <v>281</v>
      </c>
      <c r="J34" s="4" t="s">
        <v>31</v>
      </c>
      <c r="K34" t="s" s="0">
        <v>282</v>
      </c>
      <c r="L34" t="s" s="0">
        <v>112</v>
      </c>
      <c r="M34" t="s" s="0">
        <v>23</v>
      </c>
    </row>
    <row r="35" spans="1:13" x14ac:dyDescent="0.3">
      <c r="A35" t="s" s="0">
        <v>13</v>
      </c>
      <c r="B35" t="s" s="0">
        <v>24</v>
      </c>
      <c r="C35" t="s" s="0">
        <v>283</v>
      </c>
      <c r="D35" t="s" s="0">
        <v>284</v>
      </c>
      <c r="E35" t="s" s="0">
        <v>285</v>
      </c>
      <c r="F35" t="s" s="0">
        <v>286</v>
      </c>
      <c r="G35" s="7" t="s">
        <v>287</v>
      </c>
      <c r="H35" s="0">
        <f t="shared" si="0"/>
        <v>1.4803906391387429</v>
      </c>
      <c r="I35" t="s" s="0">
        <v>288</v>
      </c>
      <c r="J35" s="4" t="s">
        <v>31</v>
      </c>
      <c r="K35" t="s" s="0">
        <v>289</v>
      </c>
      <c r="L35" t="s" s="0">
        <v>290</v>
      </c>
      <c r="M35" t="s" s="0">
        <v>23</v>
      </c>
    </row>
    <row r="36" spans="1:13" x14ac:dyDescent="0.3">
      <c r="A36" t="s" s="0">
        <v>13</v>
      </c>
      <c r="B36" t="s" s="0">
        <v>33</v>
      </c>
      <c r="C36" t="s" s="0">
        <v>291</v>
      </c>
      <c r="D36" t="s" s="0">
        <v>292</v>
      </c>
      <c r="E36" t="s" s="0">
        <v>293</v>
      </c>
      <c r="F36" t="s" s="0">
        <v>294</v>
      </c>
      <c r="G36" s="7" t="s">
        <v>295</v>
      </c>
      <c r="H36" s="0">
        <f t="shared" si="0"/>
        <v>1.3905418510112031</v>
      </c>
      <c r="I36" t="s" s="0">
        <v>296</v>
      </c>
      <c r="J36" s="4" t="s">
        <v>298</v>
      </c>
      <c r="K36" t="s" s="0">
        <v>297</v>
      </c>
      <c r="L36" t="s" s="0">
        <v>299</v>
      </c>
      <c r="M36" t="s" s="0">
        <v>23</v>
      </c>
    </row>
    <row r="37" spans="1:13" x14ac:dyDescent="0.3">
      <c r="A37" t="s" s="0">
        <v>13</v>
      </c>
      <c r="B37" t="s" s="0">
        <v>14</v>
      </c>
      <c r="C37" t="s" s="0">
        <v>300</v>
      </c>
      <c r="D37" t="s" s="0">
        <v>301</v>
      </c>
      <c r="E37" t="s" s="0">
        <v>302</v>
      </c>
      <c r="F37" t="s" s="0">
        <v>303</v>
      </c>
      <c r="G37" s="7" t="s">
        <v>304</v>
      </c>
      <c r="H37" s="0">
        <f t="shared" si="0"/>
        <v>1.4048189463801362</v>
      </c>
      <c r="I37" t="s" s="0">
        <v>305</v>
      </c>
      <c r="J37" s="4" t="s">
        <v>31</v>
      </c>
      <c r="K37" t="s" s="0">
        <v>306</v>
      </c>
      <c r="L37" t="s" s="0">
        <v>307</v>
      </c>
      <c r="M37" t="s" s="0">
        <v>23</v>
      </c>
    </row>
    <row r="38" spans="1:13" x14ac:dyDescent="0.3">
      <c r="A38" t="s" s="0">
        <v>13</v>
      </c>
      <c r="B38" t="s" s="0">
        <v>24</v>
      </c>
      <c r="C38" t="s" s="0">
        <v>308</v>
      </c>
      <c r="D38" t="s" s="0">
        <v>309</v>
      </c>
      <c r="E38" t="s" s="0">
        <v>310</v>
      </c>
      <c r="F38" t="s" s="0">
        <v>311</v>
      </c>
      <c r="G38" s="7" t="s">
        <v>312</v>
      </c>
      <c r="H38" s="0">
        <f t="shared" si="0"/>
        <v>12271002363.251719</v>
      </c>
      <c r="I38" t="s" s="0">
        <v>313</v>
      </c>
      <c r="J38" s="4" t="s">
        <v>31</v>
      </c>
      <c r="K38" t="s" s="0">
        <v>314</v>
      </c>
      <c r="L38" t="s" s="0">
        <v>315</v>
      </c>
      <c r="M38" t="s" s="0">
        <v>23</v>
      </c>
    </row>
    <row r="39" spans="1:13" x14ac:dyDescent="0.3">
      <c r="A39" s="9" t="s">
        <v>13</v>
      </c>
      <c r="B39" s="9" t="s">
        <v>33</v>
      </c>
      <c r="C39" s="9" t="s">
        <v>316</v>
      </c>
      <c r="D39" s="9" t="s">
        <v>317</v>
      </c>
      <c r="E39" s="9" t="s">
        <v>318</v>
      </c>
      <c r="F39" s="9" t="s">
        <v>319</v>
      </c>
      <c r="G39" s="10" t="s">
        <v>320</v>
      </c>
      <c r="H39" s="9">
        <f t="shared" si="0"/>
        <v>9.9752004335695457</v>
      </c>
      <c r="I39" s="9" t="s">
        <v>321</v>
      </c>
      <c r="J39" s="11" t="s">
        <v>323</v>
      </c>
      <c r="K39" s="9" t="s">
        <v>322</v>
      </c>
      <c r="L39" s="9" t="s">
        <v>324</v>
      </c>
      <c r="M39" s="9" t="s">
        <v>23</v>
      </c>
    </row>
    <row r="40" spans="1:13" x14ac:dyDescent="0.3">
      <c r="A40" t="s" s="0">
        <v>194</v>
      </c>
      <c r="B40" t="s" s="0">
        <v>24</v>
      </c>
      <c r="C40" t="s" s="0">
        <v>325</v>
      </c>
      <c r="D40" t="s" s="0">
        <v>326</v>
      </c>
      <c r="E40" t="s" s="0">
        <v>327</v>
      </c>
      <c r="F40" t="s" s="0">
        <v>328</v>
      </c>
      <c r="G40" s="7" t="s">
        <v>329</v>
      </c>
      <c r="H40" s="0">
        <f t="shared" si="0"/>
        <v>7.0968589985785355</v>
      </c>
      <c r="I40" t="s" s="0">
        <v>330</v>
      </c>
      <c r="J40" s="4" t="s">
        <v>332</v>
      </c>
      <c r="K40" t="s" s="0">
        <v>331</v>
      </c>
      <c r="L40" t="s" s="0">
        <v>333</v>
      </c>
      <c r="M40" t="s" s="0">
        <v>23</v>
      </c>
    </row>
    <row r="41" spans="1:13" x14ac:dyDescent="0.3">
      <c r="A41" t="s" s="0">
        <v>194</v>
      </c>
      <c r="B41" t="s" s="0">
        <v>33</v>
      </c>
      <c r="C41" t="s" s="0">
        <v>334</v>
      </c>
      <c r="D41" t="s" s="0">
        <v>335</v>
      </c>
      <c r="E41" t="s" s="0">
        <v>336</v>
      </c>
      <c r="F41" t="s" s="0">
        <v>337</v>
      </c>
      <c r="G41" s="7" t="s">
        <v>338</v>
      </c>
      <c r="H41" s="0">
        <f t="shared" si="0"/>
        <v>3.205545651985247</v>
      </c>
      <c r="I41" t="s" s="0">
        <v>339</v>
      </c>
      <c r="J41" s="4" t="s">
        <v>341</v>
      </c>
      <c r="K41" t="s" s="0">
        <v>340</v>
      </c>
      <c r="L41" t="s" s="0">
        <v>342</v>
      </c>
      <c r="M41" t="s" s="0">
        <v>23</v>
      </c>
    </row>
    <row r="42" spans="1:13" x14ac:dyDescent="0.3">
      <c r="A42" t="s" s="0">
        <v>208</v>
      </c>
      <c r="B42" t="s" s="0">
        <v>24</v>
      </c>
      <c r="C42" t="s" s="0">
        <v>343</v>
      </c>
      <c r="D42" t="s" s="0">
        <v>344</v>
      </c>
      <c r="E42" t="s" s="0">
        <v>345</v>
      </c>
      <c r="F42" t="s" s="0">
        <v>346</v>
      </c>
      <c r="G42" s="7" t="s">
        <v>347</v>
      </c>
      <c r="H42" s="0">
        <f t="shared" si="0"/>
        <v>1.4913376481812619</v>
      </c>
      <c r="I42" t="s" s="0">
        <v>348</v>
      </c>
      <c r="J42" s="4" t="s">
        <v>350</v>
      </c>
      <c r="K42" t="s" s="0">
        <v>349</v>
      </c>
      <c r="L42" t="s" s="0">
        <v>351</v>
      </c>
      <c r="M42" t="s" s="0">
        <v>23</v>
      </c>
    </row>
    <row r="43" spans="1:13" x14ac:dyDescent="0.3">
      <c r="A43" t="s" s="0">
        <v>208</v>
      </c>
      <c r="B43" t="s" s="0">
        <v>33</v>
      </c>
      <c r="C43" t="s" s="0">
        <v>352</v>
      </c>
      <c r="D43" t="s" s="0">
        <v>353</v>
      </c>
      <c r="E43" t="s" s="0">
        <v>354</v>
      </c>
      <c r="F43" t="s" s="0">
        <v>355</v>
      </c>
      <c r="G43" s="7" t="s">
        <v>356</v>
      </c>
      <c r="H43" s="0">
        <f t="shared" si="0"/>
        <v>1.3785131370910954E-2</v>
      </c>
      <c r="I43" t="s" s="0">
        <v>357</v>
      </c>
      <c r="J43" s="4" t="s">
        <v>31</v>
      </c>
      <c r="K43" t="s" s="0">
        <v>358</v>
      </c>
      <c r="L43" t="s" s="0">
        <v>359</v>
      </c>
      <c r="M43" t="s" s="0">
        <v>23</v>
      </c>
    </row>
    <row r="44" spans="1:13" x14ac:dyDescent="0.3">
      <c r="A44" t="s" s="0">
        <v>360</v>
      </c>
      <c r="B44" t="s" s="0">
        <v>24</v>
      </c>
      <c r="C44" t="s" s="0">
        <v>361</v>
      </c>
      <c r="D44" t="s" s="0">
        <v>362</v>
      </c>
      <c r="E44" t="s" s="0">
        <v>363</v>
      </c>
      <c r="F44" t="s" s="0">
        <v>364</v>
      </c>
      <c r="G44" s="7" t="s">
        <v>365</v>
      </c>
      <c r="H44" s="0">
        <f t="shared" si="0"/>
        <v>71223604008.607941</v>
      </c>
      <c r="I44" t="s" s="0">
        <v>366</v>
      </c>
      <c r="J44" s="4" t="s">
        <v>31</v>
      </c>
      <c r="K44" t="s" s="0">
        <v>367</v>
      </c>
      <c r="L44" t="s" s="0">
        <v>186</v>
      </c>
      <c r="M44" t="s" s="0">
        <v>23</v>
      </c>
    </row>
    <row r="45" spans="1:13" x14ac:dyDescent="0.3">
      <c r="A45" t="s" s="0">
        <v>360</v>
      </c>
      <c r="B45" t="s" s="0">
        <v>33</v>
      </c>
      <c r="C45" t="s" s="0">
        <v>368</v>
      </c>
      <c r="D45" t="s" s="0">
        <v>369</v>
      </c>
      <c r="E45" t="s" s="0">
        <v>370</v>
      </c>
      <c r="F45" t="s" s="0">
        <v>371</v>
      </c>
      <c r="G45" s="7" t="s">
        <v>372</v>
      </c>
      <c r="H45" s="0">
        <f t="shared" si="0"/>
        <v>3.7240177797452438</v>
      </c>
      <c r="I45" t="s" s="0">
        <v>373</v>
      </c>
      <c r="J45" s="4" t="s">
        <v>375</v>
      </c>
      <c r="K45" t="s" s="0">
        <v>374</v>
      </c>
      <c r="L45" t="s" s="0">
        <v>376</v>
      </c>
      <c r="M45" t="s" s="0">
        <v>23</v>
      </c>
    </row>
    <row r="46" spans="1:13" x14ac:dyDescent="0.3">
      <c r="A46" t="s" s="0">
        <v>179</v>
      </c>
      <c r="B46" t="s" s="0">
        <v>24</v>
      </c>
      <c r="C46" t="s" s="0">
        <v>377</v>
      </c>
      <c r="D46" t="s" s="0">
        <v>378</v>
      </c>
      <c r="E46" t="s" s="0">
        <v>379</v>
      </c>
      <c r="F46" t="s" s="0">
        <v>380</v>
      </c>
      <c r="G46" s="7" t="s">
        <v>381</v>
      </c>
      <c r="H46" s="0">
        <f t="shared" si="0"/>
        <v>1.2896241092815246</v>
      </c>
      <c r="I46" t="s" s="0">
        <v>382</v>
      </c>
      <c r="J46" s="4" t="s">
        <v>31</v>
      </c>
      <c r="K46" t="s" s="0">
        <v>383</v>
      </c>
      <c r="L46" t="s" s="0">
        <v>384</v>
      </c>
      <c r="M46" t="s" s="0">
        <v>23</v>
      </c>
    </row>
    <row r="47" spans="1:13" x14ac:dyDescent="0.3">
      <c r="A47" t="s" s="0">
        <v>179</v>
      </c>
      <c r="B47" t="s" s="0">
        <v>33</v>
      </c>
      <c r="C47" t="s" s="0">
        <v>385</v>
      </c>
      <c r="D47" t="s" s="0">
        <v>386</v>
      </c>
      <c r="E47" t="s" s="0">
        <v>387</v>
      </c>
      <c r="F47" t="s" s="0">
        <v>388</v>
      </c>
      <c r="G47" s="7" t="s">
        <v>389</v>
      </c>
      <c r="H47" s="0">
        <f t="shared" si="0"/>
        <v>0.86784863535603762</v>
      </c>
      <c r="I47" t="s" s="0">
        <v>390</v>
      </c>
      <c r="J47" s="4" t="s">
        <v>392</v>
      </c>
      <c r="K47" t="s" s="0">
        <v>391</v>
      </c>
      <c r="L47" t="s" s="0">
        <v>393</v>
      </c>
      <c r="M47" t="s" s="0">
        <v>23</v>
      </c>
    </row>
    <row r="48" spans="1:13" x14ac:dyDescent="0.3">
      <c r="A48" t="s" s="0">
        <v>179</v>
      </c>
      <c r="B48" t="s" s="0">
        <v>14</v>
      </c>
      <c r="C48" t="s" s="0">
        <v>394</v>
      </c>
      <c r="D48" t="s" s="0">
        <v>395</v>
      </c>
      <c r="E48" t="s" s="0">
        <v>396</v>
      </c>
      <c r="F48" t="s" s="0">
        <v>397</v>
      </c>
      <c r="G48" s="7" t="s">
        <v>398</v>
      </c>
      <c r="H48" s="0">
        <f t="shared" si="0"/>
        <v>113723852693.68207</v>
      </c>
      <c r="I48" t="s" s="0">
        <v>399</v>
      </c>
      <c r="J48" s="4" t="s">
        <v>375</v>
      </c>
      <c r="K48" t="s" s="0">
        <v>400</v>
      </c>
      <c r="L48" t="s" s="0">
        <v>401</v>
      </c>
      <c r="M48" t="s" s="0">
        <v>23</v>
      </c>
    </row>
    <row r="49" spans="1:13" x14ac:dyDescent="0.3">
      <c r="A49" t="s" s="0">
        <v>13</v>
      </c>
      <c r="B49" t="s" s="0">
        <v>14</v>
      </c>
      <c r="C49" t="s" s="0">
        <v>402</v>
      </c>
      <c r="D49" t="s" s="0">
        <v>403</v>
      </c>
      <c r="E49" t="s" s="0">
        <v>404</v>
      </c>
      <c r="F49" t="s" s="0">
        <v>405</v>
      </c>
      <c r="G49" s="7" t="s">
        <v>406</v>
      </c>
      <c r="H49" s="0">
        <f t="shared" si="0"/>
        <v>1.3004901093286405</v>
      </c>
      <c r="I49" t="s" s="0">
        <v>407</v>
      </c>
      <c r="J49" s="4" t="s">
        <v>31</v>
      </c>
      <c r="K49" t="s" s="0">
        <v>408</v>
      </c>
      <c r="L49" t="s" s="0">
        <v>409</v>
      </c>
      <c r="M49" t="s" s="0">
        <v>23</v>
      </c>
    </row>
    <row r="50" spans="1:13" x14ac:dyDescent="0.3">
      <c r="A50" t="s" s="0">
        <v>194</v>
      </c>
      <c r="B50" t="s" s="0">
        <v>14</v>
      </c>
      <c r="C50" t="s" s="0">
        <v>410</v>
      </c>
      <c r="D50" t="s" s="0">
        <v>411</v>
      </c>
      <c r="E50" t="s" s="0">
        <v>412</v>
      </c>
      <c r="F50" t="s" s="0">
        <v>413</v>
      </c>
      <c r="G50" s="7" t="s">
        <v>414</v>
      </c>
      <c r="H50" s="0">
        <f t="shared" si="0"/>
        <v>1.1327618852713812</v>
      </c>
      <c r="I50" t="s" s="0">
        <v>415</v>
      </c>
      <c r="J50" s="4" t="s">
        <v>265</v>
      </c>
      <c r="K50" t="s" s="0">
        <v>416</v>
      </c>
      <c r="L50" t="s" s="0">
        <v>417</v>
      </c>
      <c r="M50" t="s" s="0">
        <v>23</v>
      </c>
    </row>
    <row r="51" spans="1:13" x14ac:dyDescent="0.3">
      <c r="A51" t="s" s="0">
        <v>194</v>
      </c>
      <c r="B51" t="s" s="0">
        <v>24</v>
      </c>
      <c r="C51" t="s" s="0">
        <v>418</v>
      </c>
      <c r="D51" t="s" s="0">
        <v>419</v>
      </c>
      <c r="E51" t="s" s="0">
        <v>420</v>
      </c>
      <c r="F51" t="s" s="0">
        <v>421</v>
      </c>
      <c r="G51" s="7" t="s">
        <v>422</v>
      </c>
      <c r="H51" s="0">
        <f t="shared" si="0"/>
        <v>9.9830909021578123</v>
      </c>
      <c r="I51" t="s" s="0">
        <v>423</v>
      </c>
      <c r="J51" s="4" t="s">
        <v>425</v>
      </c>
      <c r="K51" t="s" s="0">
        <v>424</v>
      </c>
      <c r="L51" t="s" s="0">
        <v>426</v>
      </c>
      <c r="M51" t="s" s="0">
        <v>23</v>
      </c>
    </row>
    <row r="52" spans="1:13" x14ac:dyDescent="0.3">
      <c r="A52" t="s" s="0">
        <v>194</v>
      </c>
      <c r="B52" t="s" s="0">
        <v>33</v>
      </c>
      <c r="C52" t="s" s="0">
        <v>427</v>
      </c>
      <c r="D52" t="s" s="0">
        <v>428</v>
      </c>
      <c r="E52" t="s" s="0">
        <v>429</v>
      </c>
      <c r="F52" t="s" s="0">
        <v>430</v>
      </c>
      <c r="G52" s="7" t="s">
        <v>431</v>
      </c>
      <c r="H52" s="0">
        <f t="shared" si="0"/>
        <v>0.81411157994945871</v>
      </c>
      <c r="I52" t="s" s="0">
        <v>432</v>
      </c>
      <c r="J52" s="4" t="s">
        <v>434</v>
      </c>
      <c r="K52" t="s" s="0">
        <v>433</v>
      </c>
      <c r="L52" t="s" s="0">
        <v>435</v>
      </c>
      <c r="M52" t="s" s="0">
        <v>23</v>
      </c>
    </row>
    <row r="53" spans="1:13" x14ac:dyDescent="0.3">
      <c r="A53" t="s" s="0">
        <v>179</v>
      </c>
      <c r="B53" t="s" s="0">
        <v>14</v>
      </c>
      <c r="C53" t="s" s="0">
        <v>436</v>
      </c>
      <c r="D53" t="s" s="0">
        <v>437</v>
      </c>
      <c r="E53" t="s" s="0">
        <v>438</v>
      </c>
      <c r="F53" t="s" s="0">
        <v>439</v>
      </c>
      <c r="G53" s="7" t="s">
        <v>440</v>
      </c>
      <c r="H53" s="0">
        <f t="shared" si="0"/>
        <v>0.76636338824227068</v>
      </c>
      <c r="I53" t="s" s="0">
        <v>441</v>
      </c>
      <c r="J53" s="4" t="s">
        <v>443</v>
      </c>
      <c r="K53" t="s" s="0">
        <v>442</v>
      </c>
      <c r="L53" t="s" s="0">
        <v>444</v>
      </c>
      <c r="M53" t="s" s="0">
        <v>23</v>
      </c>
    </row>
    <row r="54" spans="1:13" x14ac:dyDescent="0.3">
      <c r="A54" t="s" s="0">
        <v>179</v>
      </c>
      <c r="B54" t="s" s="0">
        <v>24</v>
      </c>
      <c r="C54" t="s" s="0">
        <v>445</v>
      </c>
      <c r="D54" t="s" s="0">
        <v>446</v>
      </c>
      <c r="E54" t="s" s="0">
        <v>447</v>
      </c>
      <c r="F54" t="s" s="0">
        <v>448</v>
      </c>
      <c r="G54" s="7" t="s">
        <v>449</v>
      </c>
      <c r="H54" s="0">
        <f t="shared" si="0"/>
        <v>1.5253627225372559</v>
      </c>
      <c r="I54" t="s" s="0">
        <v>450</v>
      </c>
      <c r="J54" s="4" t="s">
        <v>21</v>
      </c>
      <c r="K54" t="s" s="0">
        <v>451</v>
      </c>
      <c r="L54" t="s" s="0">
        <v>452</v>
      </c>
      <c r="M54" t="s" s="0">
        <v>23</v>
      </c>
    </row>
    <row r="55" spans="1:13" x14ac:dyDescent="0.3">
      <c r="A55" t="s" s="0">
        <v>179</v>
      </c>
      <c r="B55" t="s" s="0">
        <v>33</v>
      </c>
      <c r="C55" t="s" s="0">
        <v>453</v>
      </c>
      <c r="D55" t="s" s="0">
        <v>454</v>
      </c>
      <c r="E55" t="s" s="0">
        <v>455</v>
      </c>
      <c r="F55" t="s" s="0">
        <v>456</v>
      </c>
      <c r="G55" s="7" t="s">
        <v>457</v>
      </c>
      <c r="H55" s="0">
        <f t="shared" si="0"/>
        <v>1.4060472774622863</v>
      </c>
      <c r="I55" t="s" s="0">
        <v>458</v>
      </c>
      <c r="J55" s="4" t="s">
        <v>460</v>
      </c>
      <c r="K55" t="s" s="0">
        <v>459</v>
      </c>
      <c r="L55" t="s" s="0">
        <v>461</v>
      </c>
      <c r="M55" t="s" s="0">
        <v>23</v>
      </c>
    </row>
    <row r="56" spans="1:13" x14ac:dyDescent="0.3">
      <c r="A56" t="s" s="0">
        <v>13</v>
      </c>
      <c r="B56" t="s" s="0">
        <v>14</v>
      </c>
      <c r="C56" t="s" s="0">
        <v>462</v>
      </c>
      <c r="D56" t="s" s="0">
        <v>463</v>
      </c>
      <c r="E56" t="s" s="0">
        <v>464</v>
      </c>
      <c r="F56" t="s" s="0">
        <v>465</v>
      </c>
      <c r="G56" s="7" t="s">
        <v>466</v>
      </c>
      <c r="H56" s="0">
        <f t="shared" si="0"/>
        <v>1.5115744551764858</v>
      </c>
      <c r="I56" t="s" s="0">
        <v>467</v>
      </c>
      <c r="J56" s="4" t="s">
        <v>31</v>
      </c>
      <c r="K56" t="s" s="0">
        <v>468</v>
      </c>
      <c r="L56" t="s" s="0">
        <v>469</v>
      </c>
      <c r="M56" t="s" s="0">
        <v>470</v>
      </c>
    </row>
    <row r="57" spans="1:13" x14ac:dyDescent="0.3">
      <c r="A57" t="s" s="0">
        <v>13</v>
      </c>
      <c r="B57" t="s" s="0">
        <v>33</v>
      </c>
      <c r="C57" t="s" s="0">
        <v>471</v>
      </c>
      <c r="D57" t="s" s="0">
        <v>472</v>
      </c>
      <c r="E57" t="s" s="0">
        <v>473</v>
      </c>
      <c r="F57" t="s" s="0">
        <v>474</v>
      </c>
      <c r="G57" s="7" t="s">
        <v>475</v>
      </c>
      <c r="H57" s="0">
        <f t="shared" si="0"/>
        <v>1.3919709552118376</v>
      </c>
      <c r="I57" t="s" s="0">
        <v>476</v>
      </c>
      <c r="J57" s="4" t="s">
        <v>21</v>
      </c>
      <c r="K57" t="s" s="0">
        <v>477</v>
      </c>
      <c r="L57" t="s" s="0">
        <v>478</v>
      </c>
      <c r="M57" t="s" s="0">
        <v>479</v>
      </c>
    </row>
    <row r="58" spans="1:13" x14ac:dyDescent="0.3">
      <c r="A58" t="s" s="0">
        <v>103</v>
      </c>
      <c r="B58" t="s" s="0">
        <v>14</v>
      </c>
      <c r="C58" t="s" s="0">
        <v>480</v>
      </c>
      <c r="D58" t="s" s="0">
        <v>481</v>
      </c>
      <c r="E58" t="s" s="0">
        <v>482</v>
      </c>
      <c r="F58" t="s" s="0">
        <v>483</v>
      </c>
      <c r="G58" s="7" t="s">
        <v>484</v>
      </c>
      <c r="H58" s="0">
        <f t="shared" si="0"/>
        <v>0.52384814586598982</v>
      </c>
      <c r="I58" t="s" s="0">
        <v>485</v>
      </c>
      <c r="J58" s="4" t="s">
        <v>161</v>
      </c>
      <c r="K58" t="s" s="0">
        <v>486</v>
      </c>
      <c r="L58" t="s" s="0">
        <v>487</v>
      </c>
      <c r="M58" t="s" s="0">
        <v>488</v>
      </c>
    </row>
    <row r="59" spans="1:13" x14ac:dyDescent="0.3">
      <c r="A59" t="s" s="0">
        <v>103</v>
      </c>
      <c r="B59" t="s" s="0">
        <v>14</v>
      </c>
      <c r="C59" t="s" s="0">
        <v>489</v>
      </c>
      <c r="D59" t="s" s="0">
        <v>490</v>
      </c>
      <c r="E59" t="s" s="0">
        <v>491</v>
      </c>
      <c r="F59" t="s" s="0">
        <v>492</v>
      </c>
      <c r="G59" s="7" t="s">
        <v>493</v>
      </c>
      <c r="H59" s="0">
        <f t="shared" si="0"/>
        <v>0.14296390383058696</v>
      </c>
      <c r="I59" t="s" s="0">
        <v>494</v>
      </c>
      <c r="J59" s="4" t="s">
        <v>496</v>
      </c>
      <c r="K59" t="s" s="0">
        <v>495</v>
      </c>
      <c r="L59" t="s" s="0">
        <v>497</v>
      </c>
      <c r="M59" t="s" s="0">
        <v>498</v>
      </c>
    </row>
    <row r="60" spans="1:13" x14ac:dyDescent="0.3">
      <c r="A60" t="s" s="0">
        <v>103</v>
      </c>
      <c r="B60" t="s" s="0">
        <v>14</v>
      </c>
      <c r="C60" t="s" s="0">
        <v>499</v>
      </c>
      <c r="D60" t="s" s="0">
        <v>500</v>
      </c>
      <c r="E60" t="s" s="0">
        <v>501</v>
      </c>
      <c r="F60" t="s" s="0">
        <v>502</v>
      </c>
      <c r="G60" s="7" t="s">
        <v>503</v>
      </c>
      <c r="H60" s="0">
        <f t="shared" si="0"/>
        <v>0.6954665572936215</v>
      </c>
      <c r="I60" t="s" s="0">
        <v>504</v>
      </c>
      <c r="J60" s="4" t="s">
        <v>31</v>
      </c>
      <c r="K60" t="s" s="0">
        <v>505</v>
      </c>
      <c r="L60" t="s" s="0">
        <v>307</v>
      </c>
      <c r="M60" t="s" s="0">
        <v>506</v>
      </c>
    </row>
    <row r="61" spans="1:13" x14ac:dyDescent="0.3">
      <c r="A61" t="s" s="0">
        <v>103</v>
      </c>
      <c r="B61" t="s" s="0">
        <v>14</v>
      </c>
      <c r="C61" t="s" s="0">
        <v>507</v>
      </c>
      <c r="D61" t="s" s="0">
        <v>508</v>
      </c>
      <c r="E61" t="s" s="0">
        <v>509</v>
      </c>
      <c r="F61" t="s" s="0">
        <v>510</v>
      </c>
      <c r="G61" s="7" t="s">
        <v>511</v>
      </c>
      <c r="H61" s="0">
        <f t="shared" si="0"/>
        <v>5.0208431229218151</v>
      </c>
      <c r="I61" t="s" s="0">
        <v>512</v>
      </c>
      <c r="J61" s="4" t="s">
        <v>514</v>
      </c>
      <c r="K61" t="s" s="0">
        <v>513</v>
      </c>
      <c r="L61" t="s" s="0">
        <v>515</v>
      </c>
      <c r="M61" t="s" s="0">
        <v>516</v>
      </c>
    </row>
    <row r="62" spans="1:13" x14ac:dyDescent="0.3">
      <c r="A62" t="s" s="0">
        <v>103</v>
      </c>
      <c r="B62" t="s" s="0">
        <v>14</v>
      </c>
      <c r="C62" t="s" s="0">
        <v>517</v>
      </c>
      <c r="D62" t="s" s="0">
        <v>518</v>
      </c>
      <c r="E62" t="s" s="0">
        <v>519</v>
      </c>
      <c r="F62" t="s" s="0">
        <v>520</v>
      </c>
      <c r="G62" s="7" t="s">
        <v>521</v>
      </c>
      <c r="H62" s="0">
        <f t="shared" si="0"/>
        <v>0.37660719360152212</v>
      </c>
      <c r="I62" t="s" s="0">
        <v>522</v>
      </c>
      <c r="J62" s="4" t="s">
        <v>524</v>
      </c>
      <c r="K62" t="s" s="0">
        <v>523</v>
      </c>
      <c r="L62" t="s" s="0">
        <v>525</v>
      </c>
      <c r="M62" t="s" s="0">
        <v>526</v>
      </c>
    </row>
    <row r="63" spans="1:13" x14ac:dyDescent="0.3">
      <c r="A63" t="s" s="0">
        <v>103</v>
      </c>
      <c r="B63" t="s" s="0">
        <v>14</v>
      </c>
      <c r="C63" t="s" s="0">
        <v>527</v>
      </c>
      <c r="D63" t="s" s="0">
        <v>528</v>
      </c>
      <c r="E63" t="s" s="0">
        <v>529</v>
      </c>
      <c r="F63" t="s" s="0">
        <v>530</v>
      </c>
      <c r="G63" s="7" t="s">
        <v>531</v>
      </c>
      <c r="H63" s="0">
        <f t="shared" si="0"/>
        <v>0.11336342886490665</v>
      </c>
      <c r="I63" t="s" s="0">
        <v>532</v>
      </c>
      <c r="J63" s="4" t="s">
        <v>534</v>
      </c>
      <c r="K63" t="s" s="0">
        <v>533</v>
      </c>
      <c r="L63" t="s" s="0">
        <v>535</v>
      </c>
      <c r="M63" t="s" s="0">
        <v>536</v>
      </c>
    </row>
    <row r="64" spans="1:13" x14ac:dyDescent="0.3">
      <c r="A64" t="s" s="0">
        <v>103</v>
      </c>
      <c r="B64" t="s" s="0">
        <v>33</v>
      </c>
      <c r="C64" t="s" s="0">
        <v>537</v>
      </c>
      <c r="D64" t="s" s="0">
        <v>538</v>
      </c>
      <c r="E64" t="s" s="0">
        <v>539</v>
      </c>
      <c r="F64" t="s" s="0">
        <v>540</v>
      </c>
      <c r="G64" s="7" t="s">
        <v>541</v>
      </c>
      <c r="H64" s="0">
        <f t="shared" si="0"/>
        <v>1.2410422298676185</v>
      </c>
      <c r="I64" t="s" s="0">
        <v>542</v>
      </c>
      <c r="J64" s="4" t="s">
        <v>544</v>
      </c>
      <c r="K64" t="s" s="0">
        <v>543</v>
      </c>
      <c r="L64" t="s" s="0">
        <v>545</v>
      </c>
      <c r="M64" t="s" s="0">
        <v>546</v>
      </c>
    </row>
    <row r="65" spans="1:13" x14ac:dyDescent="0.3">
      <c r="A65" t="s" s="0">
        <v>13</v>
      </c>
      <c r="B65" t="s" s="0">
        <v>14</v>
      </c>
      <c r="C65" t="s" s="0">
        <v>547</v>
      </c>
      <c r="D65" t="s" s="0">
        <v>548</v>
      </c>
      <c r="E65" t="s" s="0">
        <v>549</v>
      </c>
      <c r="F65" t="s" s="0">
        <v>550</v>
      </c>
      <c r="G65" s="7" t="s">
        <v>551</v>
      </c>
      <c r="H65" s="0">
        <f t="shared" si="0"/>
        <v>11.944208040375226</v>
      </c>
      <c r="I65" t="s" s="0">
        <v>552</v>
      </c>
      <c r="J65" s="4" t="s">
        <v>31</v>
      </c>
      <c r="K65" t="s" s="0">
        <v>553</v>
      </c>
      <c r="L65" t="s" s="0">
        <v>554</v>
      </c>
      <c r="M65" t="s" s="0">
        <v>555</v>
      </c>
    </row>
    <row r="66" spans="1:13" x14ac:dyDescent="0.3">
      <c r="A66" t="s" s="0">
        <v>13</v>
      </c>
      <c r="B66" t="s" s="0">
        <v>33</v>
      </c>
      <c r="C66" t="s" s="0">
        <v>556</v>
      </c>
      <c r="D66" t="s" s="0">
        <v>557</v>
      </c>
      <c r="E66" t="s" s="0">
        <v>558</v>
      </c>
      <c r="F66" t="s" s="0">
        <v>559</v>
      </c>
      <c r="G66" s="7" t="s">
        <v>560</v>
      </c>
      <c r="H66" s="0">
        <f t="shared" ref="H66:H67" si="3">G66/D66</f>
        <v>8.1767786551383104</v>
      </c>
      <c r="I66" t="s" s="0">
        <v>561</v>
      </c>
      <c r="J66" s="4" t="s">
        <v>31</v>
      </c>
      <c r="K66" t="s" s="0">
        <v>562</v>
      </c>
      <c r="L66" t="s" s="0">
        <v>563</v>
      </c>
      <c r="M66" t="s" s="0">
        <v>564</v>
      </c>
    </row>
    <row r="67" spans="1:13" x14ac:dyDescent="0.3">
      <c r="A67" t="s" s="0">
        <v>13</v>
      </c>
      <c r="B67" t="s" s="0">
        <v>24</v>
      </c>
      <c r="C67" t="s" s="0">
        <v>565</v>
      </c>
      <c r="D67" t="s" s="0">
        <v>566</v>
      </c>
      <c r="E67" t="s" s="0">
        <v>567</v>
      </c>
      <c r="F67" t="s" s="0">
        <v>568</v>
      </c>
      <c r="G67" s="7" t="s">
        <v>569</v>
      </c>
      <c r="H67" s="0">
        <f t="shared" si="3"/>
        <v>0.73007254775725317</v>
      </c>
      <c r="I67" t="s" s="0">
        <v>570</v>
      </c>
      <c r="J67" s="4" t="s">
        <v>572</v>
      </c>
      <c r="K67" t="s" s="0">
        <v>571</v>
      </c>
      <c r="L67" t="s" s="0">
        <v>573</v>
      </c>
      <c r="M67" t="s" s="0">
        <v>574</v>
      </c>
    </row>
    <row r="68">
      <c r="A68" t="s" s="0">
        <v>360</v>
      </c>
      <c r="B68" t="s" s="0">
        <v>24</v>
      </c>
      <c r="C68" t="s" s="0">
        <v>575</v>
      </c>
      <c r="D68" t="s" s="0">
        <v>576</v>
      </c>
      <c r="E68" t="s" s="0">
        <v>577</v>
      </c>
      <c r="F68" t="s" s="0">
        <v>578</v>
      </c>
      <c r="G68" t="s" s="7">
        <v>579</v>
      </c>
      <c r="H68" t="s" s="0">
        <v>580</v>
      </c>
      <c r="I68" t="s" s="0">
        <v>581</v>
      </c>
      <c r="J68" t="s" s="4">
        <v>247</v>
      </c>
      <c r="K68" t="s" s="0">
        <v>582</v>
      </c>
      <c r="L68" t="s" s="0">
        <v>583</v>
      </c>
      <c r="M68" t="s" s="0">
        <v>584</v>
      </c>
    </row>
    <row r="69">
      <c r="A69" t="s" s="0">
        <v>360</v>
      </c>
      <c r="B69" t="s" s="0">
        <v>33</v>
      </c>
      <c r="C69" t="s" s="0">
        <v>585</v>
      </c>
      <c r="D69" t="s" s="0">
        <v>586</v>
      </c>
      <c r="E69" t="s" s="0">
        <v>587</v>
      </c>
      <c r="F69" t="s" s="0">
        <v>588</v>
      </c>
      <c r="G69" t="s" s="7">
        <v>589</v>
      </c>
      <c r="H69" t="s" s="0">
        <v>590</v>
      </c>
      <c r="I69" t="s" s="0">
        <v>591</v>
      </c>
      <c r="J69" t="s" s="4">
        <v>592</v>
      </c>
      <c r="K69" t="s" s="0">
        <v>593</v>
      </c>
      <c r="L69" t="s" s="0">
        <v>594</v>
      </c>
      <c r="M69" t="s" s="0">
        <v>595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Metrics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2025-04-22T11:43:55Z</dcterms:created>
  <dc:creator>Apache POI</dc:creator>
  <cp:lastModifiedBy>mdaly</cp:lastModifiedBy>
  <dcterms:modified xsi:type="dcterms:W3CDTF">2025-05-06T09:22:46Z</dcterms:modified>
</cp:coreProperties>
</file>